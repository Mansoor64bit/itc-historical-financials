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G3\Documents\GITHUB REPOS\Project 6 ITC FS\itc-historical-financials\"/>
    </mc:Choice>
  </mc:AlternateContent>
  <xr:revisionPtr revIDLastSave="0" documentId="13_ncr:1_{26BF8359-8ADC-4A21-8DEB-F340A889AD17}" xr6:coauthVersionLast="47" xr6:coauthVersionMax="47" xr10:uidLastSave="{00000000-0000-0000-0000-000000000000}"/>
  <bookViews>
    <workbookView xWindow="-108" yWindow="-108" windowWidth="23256" windowHeight="12456" activeTab="3" xr2:uid="{D4886810-D9CC-4231-AA87-2302A306BB27}"/>
  </bookViews>
  <sheets>
    <sheet name="Historical FS" sheetId="3" r:id="rId1"/>
    <sheet name="Common Size Statement" sheetId="7" r:id="rId2"/>
    <sheet name="Ratio Analysis" sheetId="6" r:id="rId3"/>
    <sheet name="Forecasting" sheetId="8" r:id="rId4"/>
    <sheet name="Data Sheet" sheetId="2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8" l="1"/>
  <c r="E23" i="8"/>
  <c r="E24" i="8"/>
  <c r="E25" i="8"/>
  <c r="E21" i="8"/>
  <c r="D24" i="8"/>
  <c r="D23" i="8"/>
  <c r="C23" i="8"/>
  <c r="D25" i="8"/>
  <c r="C25" i="8"/>
  <c r="C24" i="8"/>
  <c r="D22" i="8"/>
  <c r="C22" i="8"/>
  <c r="D21" i="8"/>
  <c r="C21" i="8"/>
  <c r="N4" i="8" a="1"/>
  <c r="I4" i="8" a="1"/>
  <c r="D4" i="8" a="1"/>
  <c r="B2" i="6"/>
  <c r="B22" i="7"/>
  <c r="B2" i="7"/>
  <c r="D23" i="7"/>
  <c r="E23" i="7"/>
  <c r="F23" i="7"/>
  <c r="G23" i="7"/>
  <c r="H23" i="7"/>
  <c r="I23" i="7"/>
  <c r="J23" i="7"/>
  <c r="K23" i="7"/>
  <c r="L23" i="7"/>
  <c r="C23" i="7"/>
  <c r="D3" i="7"/>
  <c r="E3" i="7"/>
  <c r="F3" i="7"/>
  <c r="G3" i="7"/>
  <c r="H3" i="7"/>
  <c r="I3" i="7"/>
  <c r="J3" i="7"/>
  <c r="K3" i="7"/>
  <c r="L3" i="7"/>
  <c r="C3" i="7"/>
  <c r="B37" i="7"/>
  <c r="B38" i="7"/>
  <c r="B36" i="7"/>
  <c r="B33" i="7"/>
  <c r="B34" i="7"/>
  <c r="B35" i="7"/>
  <c r="B32" i="7"/>
  <c r="C27" i="7"/>
  <c r="D27" i="7"/>
  <c r="E27" i="7"/>
  <c r="F27" i="7"/>
  <c r="G27" i="7"/>
  <c r="H27" i="7"/>
  <c r="I27" i="7"/>
  <c r="J27" i="7"/>
  <c r="K27" i="7"/>
  <c r="L27" i="7"/>
  <c r="C28" i="7"/>
  <c r="D28" i="7"/>
  <c r="E28" i="7"/>
  <c r="F28" i="7"/>
  <c r="G28" i="7"/>
  <c r="H28" i="7"/>
  <c r="I28" i="7"/>
  <c r="J28" i="7"/>
  <c r="K28" i="7"/>
  <c r="L28" i="7"/>
  <c r="C29" i="7"/>
  <c r="D29" i="7"/>
  <c r="E29" i="7"/>
  <c r="F29" i="7"/>
  <c r="G29" i="7"/>
  <c r="H29" i="7"/>
  <c r="I29" i="7"/>
  <c r="J29" i="7"/>
  <c r="K29" i="7"/>
  <c r="L29" i="7"/>
  <c r="D26" i="7"/>
  <c r="E26" i="7"/>
  <c r="F26" i="7"/>
  <c r="G26" i="7"/>
  <c r="H26" i="7"/>
  <c r="I26" i="7"/>
  <c r="J26" i="7"/>
  <c r="K26" i="7"/>
  <c r="L26" i="7"/>
  <c r="C26" i="7"/>
  <c r="D25" i="7"/>
  <c r="E25" i="7"/>
  <c r="F25" i="7"/>
  <c r="G25" i="7"/>
  <c r="H25" i="7"/>
  <c r="I25" i="7"/>
  <c r="J25" i="7"/>
  <c r="K25" i="7"/>
  <c r="L25" i="7"/>
  <c r="C25" i="7"/>
  <c r="B27" i="7"/>
  <c r="B28" i="7"/>
  <c r="B29" i="7"/>
  <c r="B26" i="7"/>
  <c r="C7" i="7"/>
  <c r="D7" i="7"/>
  <c r="E7" i="7"/>
  <c r="F7" i="7"/>
  <c r="G7" i="7"/>
  <c r="H7" i="7"/>
  <c r="I7" i="7"/>
  <c r="J7" i="7"/>
  <c r="K7" i="7"/>
  <c r="L7" i="7"/>
  <c r="C8" i="7"/>
  <c r="D8" i="7"/>
  <c r="E8" i="7"/>
  <c r="F8" i="7"/>
  <c r="G8" i="7"/>
  <c r="H8" i="7"/>
  <c r="I8" i="7"/>
  <c r="J8" i="7"/>
  <c r="K8" i="7"/>
  <c r="L8" i="7"/>
  <c r="C9" i="7"/>
  <c r="D9" i="7"/>
  <c r="E9" i="7"/>
  <c r="F9" i="7"/>
  <c r="G9" i="7"/>
  <c r="H9" i="7"/>
  <c r="I9" i="7"/>
  <c r="J9" i="7"/>
  <c r="K9" i="7"/>
  <c r="L9" i="7"/>
  <c r="C10" i="7"/>
  <c r="D10" i="7"/>
  <c r="E10" i="7"/>
  <c r="F10" i="7"/>
  <c r="G10" i="7"/>
  <c r="H10" i="7"/>
  <c r="I10" i="7"/>
  <c r="J10" i="7"/>
  <c r="K10" i="7"/>
  <c r="L10" i="7"/>
  <c r="C11" i="7"/>
  <c r="D11" i="7"/>
  <c r="E11" i="7"/>
  <c r="F11" i="7"/>
  <c r="G11" i="7"/>
  <c r="H11" i="7"/>
  <c r="I11" i="7"/>
  <c r="J11" i="7"/>
  <c r="K11" i="7"/>
  <c r="L11" i="7"/>
  <c r="C12" i="7"/>
  <c r="D12" i="7"/>
  <c r="E12" i="7"/>
  <c r="F12" i="7"/>
  <c r="G12" i="7"/>
  <c r="H12" i="7"/>
  <c r="I12" i="7"/>
  <c r="J12" i="7"/>
  <c r="K12" i="7"/>
  <c r="L12" i="7"/>
  <c r="C13" i="7"/>
  <c r="D13" i="7"/>
  <c r="E13" i="7"/>
  <c r="F13" i="7"/>
  <c r="G13" i="7"/>
  <c r="H13" i="7"/>
  <c r="I13" i="7"/>
  <c r="J13" i="7"/>
  <c r="K13" i="7"/>
  <c r="L13" i="7"/>
  <c r="C14" i="7"/>
  <c r="D14" i="7"/>
  <c r="E14" i="7"/>
  <c r="F14" i="7"/>
  <c r="G14" i="7"/>
  <c r="H14" i="7"/>
  <c r="I14" i="7"/>
  <c r="J14" i="7"/>
  <c r="K14" i="7"/>
  <c r="L14" i="7"/>
  <c r="C15" i="7"/>
  <c r="D15" i="7"/>
  <c r="E15" i="7"/>
  <c r="F15" i="7"/>
  <c r="G15" i="7"/>
  <c r="H15" i="7"/>
  <c r="I15" i="7"/>
  <c r="J15" i="7"/>
  <c r="K15" i="7"/>
  <c r="L15" i="7"/>
  <c r="C16" i="7"/>
  <c r="D16" i="7"/>
  <c r="E16" i="7"/>
  <c r="F16" i="7"/>
  <c r="G16" i="7"/>
  <c r="H16" i="7"/>
  <c r="I16" i="7"/>
  <c r="J16" i="7"/>
  <c r="K16" i="7"/>
  <c r="L16" i="7"/>
  <c r="C17" i="7"/>
  <c r="D17" i="7"/>
  <c r="E17" i="7"/>
  <c r="F17" i="7"/>
  <c r="G17" i="7"/>
  <c r="H17" i="7"/>
  <c r="I17" i="7"/>
  <c r="J17" i="7"/>
  <c r="K17" i="7"/>
  <c r="L17" i="7"/>
  <c r="C18" i="7"/>
  <c r="D18" i="7"/>
  <c r="E18" i="7"/>
  <c r="F18" i="7"/>
  <c r="G18" i="7"/>
  <c r="H18" i="7"/>
  <c r="I18" i="7"/>
  <c r="J18" i="7"/>
  <c r="K18" i="7"/>
  <c r="L18" i="7"/>
  <c r="C19" i="7"/>
  <c r="D19" i="7"/>
  <c r="E19" i="7"/>
  <c r="F19" i="7"/>
  <c r="G19" i="7"/>
  <c r="H19" i="7"/>
  <c r="I19" i="7"/>
  <c r="J19" i="7"/>
  <c r="K19" i="7"/>
  <c r="L19" i="7"/>
  <c r="D6" i="7"/>
  <c r="E6" i="7"/>
  <c r="F6" i="7"/>
  <c r="G6" i="7"/>
  <c r="H6" i="7"/>
  <c r="I6" i="7"/>
  <c r="J6" i="7"/>
  <c r="K6" i="7"/>
  <c r="L6" i="7"/>
  <c r="C6" i="7"/>
  <c r="D5" i="7"/>
  <c r="E5" i="7"/>
  <c r="F5" i="7"/>
  <c r="G5" i="7"/>
  <c r="H5" i="7"/>
  <c r="I5" i="7"/>
  <c r="J5" i="7"/>
  <c r="K5" i="7"/>
  <c r="L5" i="7"/>
  <c r="C5" i="7"/>
  <c r="B20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5" i="7"/>
  <c r="C76" i="2"/>
  <c r="D76" i="2"/>
  <c r="E76" i="2"/>
  <c r="F76" i="2"/>
  <c r="G76" i="2"/>
  <c r="H76" i="2"/>
  <c r="I76" i="2"/>
  <c r="J76" i="2"/>
  <c r="K76" i="2"/>
  <c r="C74" i="2"/>
  <c r="D74" i="2"/>
  <c r="E74" i="2"/>
  <c r="F74" i="2"/>
  <c r="G74" i="2"/>
  <c r="H74" i="2"/>
  <c r="I74" i="2"/>
  <c r="J74" i="2"/>
  <c r="K74" i="2"/>
  <c r="B76" i="2"/>
  <c r="B74" i="2"/>
  <c r="M4" i="8"/>
  <c r="M5" i="8" s="1"/>
  <c r="M6" i="8" s="1"/>
  <c r="M7" i="8" s="1"/>
  <c r="M8" i="8" s="1"/>
  <c r="M9" i="8" s="1"/>
  <c r="M10" i="8" s="1"/>
  <c r="M11" i="8" s="1"/>
  <c r="M12" i="8" s="1"/>
  <c r="M13" i="8" s="1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C4" i="8"/>
  <c r="C5" i="8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D3" i="8"/>
  <c r="N3" i="8"/>
  <c r="O3" i="8" s="1"/>
  <c r="I3" i="8"/>
  <c r="L2" i="8"/>
  <c r="G2" i="8"/>
  <c r="L5" i="8"/>
  <c r="G5" i="8"/>
  <c r="B2" i="8"/>
  <c r="E6" i="8"/>
  <c r="E7" i="8"/>
  <c r="E8" i="8"/>
  <c r="E9" i="8"/>
  <c r="E10" i="8"/>
  <c r="E11" i="8"/>
  <c r="E12" i="8"/>
  <c r="E13" i="8"/>
  <c r="B5" i="8"/>
  <c r="I16" i="8" l="1"/>
  <c r="I15" i="8"/>
  <c r="I18" i="8"/>
  <c r="I17" i="8"/>
  <c r="J17" i="8" s="1"/>
  <c r="I14" i="8"/>
  <c r="J14" i="8" s="1"/>
  <c r="J5" i="8"/>
  <c r="D15" i="8"/>
  <c r="D14" i="8"/>
  <c r="E14" i="8" s="1"/>
  <c r="D16" i="8"/>
  <c r="E16" i="8" s="1"/>
  <c r="D17" i="8"/>
  <c r="E17" i="8" s="1"/>
  <c r="D18" i="8"/>
  <c r="E18" i="8" s="1"/>
  <c r="E5" i="8"/>
  <c r="D33" i="7"/>
  <c r="D32" i="7"/>
  <c r="D38" i="7"/>
  <c r="D31" i="7"/>
  <c r="D37" i="7"/>
  <c r="D36" i="7"/>
  <c r="D35" i="7"/>
  <c r="D34" i="7"/>
  <c r="E37" i="7"/>
  <c r="E35" i="7"/>
  <c r="E38" i="7"/>
  <c r="E36" i="7"/>
  <c r="E31" i="7"/>
  <c r="E32" i="7"/>
  <c r="E33" i="7"/>
  <c r="E34" i="7"/>
  <c r="F38" i="7"/>
  <c r="F31" i="7"/>
  <c r="F36" i="7"/>
  <c r="F32" i="7"/>
  <c r="F37" i="7"/>
  <c r="F33" i="7"/>
  <c r="F35" i="7"/>
  <c r="F34" i="7"/>
  <c r="G33" i="7"/>
  <c r="G35" i="7"/>
  <c r="G37" i="7"/>
  <c r="G32" i="7"/>
  <c r="G36" i="7"/>
  <c r="G31" i="7"/>
  <c r="G38" i="7"/>
  <c r="G34" i="7"/>
  <c r="H38" i="7"/>
  <c r="H31" i="7"/>
  <c r="H35" i="7"/>
  <c r="H36" i="7"/>
  <c r="H32" i="7"/>
  <c r="H33" i="7"/>
  <c r="H37" i="7"/>
  <c r="H34" i="7"/>
  <c r="I38" i="7"/>
  <c r="I31" i="7"/>
  <c r="I33" i="7"/>
  <c r="I34" i="7"/>
  <c r="I32" i="7"/>
  <c r="I35" i="7"/>
  <c r="I36" i="7"/>
  <c r="I37" i="7"/>
  <c r="J37" i="7"/>
  <c r="J35" i="7"/>
  <c r="J33" i="7"/>
  <c r="J32" i="7"/>
  <c r="J36" i="7"/>
  <c r="J31" i="7"/>
  <c r="J34" i="7"/>
  <c r="J38" i="7"/>
  <c r="K35" i="7"/>
  <c r="K33" i="7"/>
  <c r="K32" i="7"/>
  <c r="K34" i="7"/>
  <c r="K36" i="7"/>
  <c r="K31" i="7"/>
  <c r="K37" i="7"/>
  <c r="K38" i="7"/>
  <c r="L34" i="7"/>
  <c r="L35" i="7"/>
  <c r="L32" i="7"/>
  <c r="L36" i="7"/>
  <c r="L37" i="7"/>
  <c r="L31" i="7"/>
  <c r="L33" i="7"/>
  <c r="L38" i="7"/>
  <c r="C36" i="7"/>
  <c r="C33" i="7"/>
  <c r="C34" i="7"/>
  <c r="C35" i="7"/>
  <c r="C32" i="7"/>
  <c r="C31" i="7"/>
  <c r="C37" i="7"/>
  <c r="C38" i="7"/>
  <c r="M14" i="8"/>
  <c r="M15" i="8" s="1"/>
  <c r="M16" i="8" s="1"/>
  <c r="M17" i="8" s="1"/>
  <c r="M18" i="8" s="1"/>
  <c r="J9" i="8"/>
  <c r="J13" i="8"/>
  <c r="J12" i="8"/>
  <c r="J11" i="8"/>
  <c r="J10" i="8"/>
  <c r="J8" i="8"/>
  <c r="J7" i="8"/>
  <c r="J6" i="8"/>
  <c r="L3" i="6"/>
  <c r="K3" i="6"/>
  <c r="J3" i="6"/>
  <c r="I3" i="6"/>
  <c r="H3" i="6"/>
  <c r="G3" i="6"/>
  <c r="F3" i="6"/>
  <c r="E3" i="6"/>
  <c r="D3" i="6"/>
  <c r="C3" i="6"/>
  <c r="J16" i="8" l="1"/>
  <c r="J15" i="8"/>
  <c r="J18" i="8"/>
  <c r="E15" i="8"/>
  <c r="L77" i="3"/>
  <c r="K77" i="3"/>
  <c r="J77" i="3"/>
  <c r="I77" i="3"/>
  <c r="H77" i="3"/>
  <c r="G77" i="3"/>
  <c r="F77" i="3"/>
  <c r="E77" i="3"/>
  <c r="D77" i="3"/>
  <c r="C77" i="3"/>
  <c r="L75" i="3"/>
  <c r="K75" i="3"/>
  <c r="J75" i="3"/>
  <c r="I75" i="3"/>
  <c r="H75" i="3"/>
  <c r="G75" i="3"/>
  <c r="F75" i="3"/>
  <c r="E75" i="3"/>
  <c r="D75" i="3"/>
  <c r="C75" i="3"/>
  <c r="L73" i="3"/>
  <c r="K73" i="3"/>
  <c r="J73" i="3"/>
  <c r="I73" i="3"/>
  <c r="H73" i="3"/>
  <c r="G73" i="3"/>
  <c r="F73" i="3"/>
  <c r="E73" i="3"/>
  <c r="D73" i="3"/>
  <c r="C73" i="3"/>
  <c r="L59" i="3"/>
  <c r="K59" i="3"/>
  <c r="J59" i="3"/>
  <c r="I59" i="3"/>
  <c r="H59" i="3"/>
  <c r="G59" i="3"/>
  <c r="F59" i="3"/>
  <c r="E59" i="3"/>
  <c r="D59" i="3"/>
  <c r="C59" i="3"/>
  <c r="L64" i="3"/>
  <c r="K64" i="3"/>
  <c r="J64" i="3"/>
  <c r="I64" i="3"/>
  <c r="H64" i="3"/>
  <c r="G64" i="3"/>
  <c r="F64" i="3"/>
  <c r="E64" i="3"/>
  <c r="D64" i="3"/>
  <c r="L63" i="3"/>
  <c r="K63" i="3"/>
  <c r="J63" i="3"/>
  <c r="I63" i="3"/>
  <c r="H63" i="3"/>
  <c r="G63" i="3"/>
  <c r="F63" i="3"/>
  <c r="E63" i="3"/>
  <c r="D63" i="3"/>
  <c r="L62" i="3"/>
  <c r="K62" i="3"/>
  <c r="J62" i="3"/>
  <c r="I62" i="3"/>
  <c r="H62" i="3"/>
  <c r="G62" i="3"/>
  <c r="F62" i="3"/>
  <c r="E62" i="3"/>
  <c r="D62" i="3"/>
  <c r="C64" i="3"/>
  <c r="C63" i="3"/>
  <c r="C62" i="3"/>
  <c r="L58" i="3"/>
  <c r="K58" i="3"/>
  <c r="J58" i="3"/>
  <c r="I58" i="3"/>
  <c r="H58" i="3"/>
  <c r="G58" i="3"/>
  <c r="F58" i="3"/>
  <c r="E58" i="3"/>
  <c r="D58" i="3"/>
  <c r="C58" i="3"/>
  <c r="L57" i="3"/>
  <c r="K57" i="3"/>
  <c r="J57" i="3"/>
  <c r="I57" i="3"/>
  <c r="H57" i="3"/>
  <c r="G57" i="3"/>
  <c r="F57" i="3"/>
  <c r="E57" i="3"/>
  <c r="D57" i="3"/>
  <c r="C57" i="3"/>
  <c r="L56" i="3"/>
  <c r="K56" i="3"/>
  <c r="J56" i="3"/>
  <c r="I56" i="3"/>
  <c r="H56" i="3"/>
  <c r="G56" i="3"/>
  <c r="F56" i="3"/>
  <c r="E56" i="3"/>
  <c r="D56" i="3"/>
  <c r="C56" i="3"/>
  <c r="L54" i="3"/>
  <c r="K54" i="3"/>
  <c r="J54" i="3"/>
  <c r="I54" i="3"/>
  <c r="H54" i="3"/>
  <c r="G54" i="3"/>
  <c r="F54" i="3"/>
  <c r="E54" i="3"/>
  <c r="D54" i="3"/>
  <c r="L53" i="3"/>
  <c r="K53" i="3"/>
  <c r="J53" i="3"/>
  <c r="I53" i="3"/>
  <c r="H53" i="3"/>
  <c r="G53" i="3"/>
  <c r="F53" i="3"/>
  <c r="E53" i="3"/>
  <c r="D53" i="3"/>
  <c r="L52" i="3"/>
  <c r="K52" i="3"/>
  <c r="J52" i="3"/>
  <c r="I52" i="3"/>
  <c r="H52" i="3"/>
  <c r="G52" i="3"/>
  <c r="F52" i="3"/>
  <c r="E52" i="3"/>
  <c r="D52" i="3"/>
  <c r="L51" i="3"/>
  <c r="K51" i="3"/>
  <c r="J51" i="3"/>
  <c r="I51" i="3"/>
  <c r="H51" i="3"/>
  <c r="G51" i="3"/>
  <c r="F51" i="3"/>
  <c r="E51" i="3"/>
  <c r="D51" i="3"/>
  <c r="L50" i="3"/>
  <c r="K50" i="3"/>
  <c r="J50" i="3"/>
  <c r="I50" i="3"/>
  <c r="H50" i="3"/>
  <c r="G50" i="3"/>
  <c r="F50" i="3"/>
  <c r="E50" i="3"/>
  <c r="D50" i="3"/>
  <c r="C54" i="3"/>
  <c r="C53" i="3"/>
  <c r="C52" i="3"/>
  <c r="C51" i="3"/>
  <c r="C50" i="3"/>
  <c r="L39" i="3"/>
  <c r="M39" i="3" s="1"/>
  <c r="M44" i="3" s="1"/>
  <c r="K39" i="3"/>
  <c r="K44" i="3" s="1"/>
  <c r="J39" i="3"/>
  <c r="J44" i="3" s="1"/>
  <c r="I39" i="3"/>
  <c r="I44" i="3" s="1"/>
  <c r="H39" i="3"/>
  <c r="H44" i="3" s="1"/>
  <c r="G39" i="3"/>
  <c r="G44" i="3" s="1"/>
  <c r="F39" i="3"/>
  <c r="F44" i="3" s="1"/>
  <c r="E39" i="3"/>
  <c r="E44" i="3" s="1"/>
  <c r="D39" i="3"/>
  <c r="D44" i="3" s="1"/>
  <c r="C39" i="3"/>
  <c r="C44" i="3" s="1"/>
  <c r="M33" i="3"/>
  <c r="L33" i="3"/>
  <c r="K33" i="3"/>
  <c r="J33" i="3"/>
  <c r="I33" i="3"/>
  <c r="H33" i="3"/>
  <c r="G33" i="3"/>
  <c r="F33" i="3"/>
  <c r="E33" i="3"/>
  <c r="D33" i="3"/>
  <c r="C33" i="3"/>
  <c r="L24" i="3"/>
  <c r="K24" i="3"/>
  <c r="J24" i="3"/>
  <c r="I24" i="3"/>
  <c r="H24" i="3"/>
  <c r="G24" i="3"/>
  <c r="F24" i="3"/>
  <c r="E24" i="3"/>
  <c r="D24" i="3"/>
  <c r="C24" i="3"/>
  <c r="M24" i="3"/>
  <c r="M21" i="3"/>
  <c r="L21" i="3"/>
  <c r="K21" i="3"/>
  <c r="J21" i="3"/>
  <c r="I21" i="3"/>
  <c r="H21" i="3"/>
  <c r="G21" i="3"/>
  <c r="F21" i="3"/>
  <c r="E21" i="3"/>
  <c r="D21" i="3"/>
  <c r="C21" i="3"/>
  <c r="L15" i="3"/>
  <c r="K15" i="3"/>
  <c r="J15" i="3"/>
  <c r="I15" i="3"/>
  <c r="H15" i="3"/>
  <c r="G15" i="3"/>
  <c r="F15" i="3"/>
  <c r="E15" i="3"/>
  <c r="D15" i="3"/>
  <c r="C15" i="3"/>
  <c r="M9" i="3"/>
  <c r="L9" i="3"/>
  <c r="L29" i="6" s="1"/>
  <c r="L35" i="6" s="1"/>
  <c r="K9" i="3"/>
  <c r="K29" i="6" s="1"/>
  <c r="K35" i="6" s="1"/>
  <c r="J9" i="3"/>
  <c r="J29" i="6" s="1"/>
  <c r="J35" i="6" s="1"/>
  <c r="I9" i="3"/>
  <c r="I29" i="6" s="1"/>
  <c r="I35" i="6" s="1"/>
  <c r="H9" i="3"/>
  <c r="H29" i="6" s="1"/>
  <c r="H35" i="6" s="1"/>
  <c r="G9" i="3"/>
  <c r="G29" i="6" s="1"/>
  <c r="G35" i="6" s="1"/>
  <c r="F9" i="3"/>
  <c r="F29" i="6" s="1"/>
  <c r="F35" i="6" s="1"/>
  <c r="E9" i="3"/>
  <c r="E29" i="6" s="1"/>
  <c r="E35" i="6" s="1"/>
  <c r="D9" i="3"/>
  <c r="D29" i="6" s="1"/>
  <c r="D35" i="6" s="1"/>
  <c r="C9" i="3"/>
  <c r="C29" i="6" s="1"/>
  <c r="M6" i="3"/>
  <c r="M16" i="3" s="1"/>
  <c r="L6" i="3"/>
  <c r="K6" i="3"/>
  <c r="J6" i="3"/>
  <c r="I6" i="3"/>
  <c r="H6" i="3"/>
  <c r="G6" i="3"/>
  <c r="F6" i="3"/>
  <c r="E6" i="3"/>
  <c r="D6" i="3"/>
  <c r="C6" i="3"/>
  <c r="L3" i="3"/>
  <c r="D3" i="3"/>
  <c r="E3" i="3"/>
  <c r="F3" i="3"/>
  <c r="G3" i="3"/>
  <c r="H3" i="3"/>
  <c r="I3" i="3"/>
  <c r="J3" i="3"/>
  <c r="K3" i="3"/>
  <c r="C3" i="3"/>
  <c r="B2" i="3"/>
  <c r="K51" i="2"/>
  <c r="J51" i="2"/>
  <c r="I51" i="2"/>
  <c r="H51" i="2"/>
  <c r="M18" i="3" s="1"/>
  <c r="M27" i="3" s="1"/>
  <c r="M28" i="3" s="1"/>
  <c r="G51" i="2"/>
  <c r="F51" i="2"/>
  <c r="E51" i="2"/>
  <c r="D51" i="2"/>
  <c r="C51" i="2"/>
  <c r="B51" i="2"/>
  <c r="K34" i="2"/>
  <c r="L20" i="7" s="1"/>
  <c r="J34" i="2"/>
  <c r="K20" i="7" s="1"/>
  <c r="I34" i="2"/>
  <c r="J20" i="7" s="1"/>
  <c r="H34" i="2"/>
  <c r="I20" i="7" s="1"/>
  <c r="G34" i="2"/>
  <c r="H20" i="7" s="1"/>
  <c r="F34" i="2"/>
  <c r="G20" i="7" s="1"/>
  <c r="E34" i="2"/>
  <c r="F20" i="7" s="1"/>
  <c r="D34" i="2"/>
  <c r="E20" i="7" s="1"/>
  <c r="C34" i="2"/>
  <c r="D20" i="7" s="1"/>
  <c r="B34" i="2"/>
  <c r="C20" i="7" s="1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L38" i="6" l="1"/>
  <c r="L40" i="6"/>
  <c r="K38" i="6"/>
  <c r="K40" i="6"/>
  <c r="J38" i="6"/>
  <c r="J40" i="6"/>
  <c r="I38" i="6"/>
  <c r="I40" i="6"/>
  <c r="H38" i="6"/>
  <c r="H40" i="6"/>
  <c r="G38" i="6"/>
  <c r="G40" i="6"/>
  <c r="F38" i="6"/>
  <c r="F40" i="6"/>
  <c r="E38" i="6"/>
  <c r="E40" i="6"/>
  <c r="D40" i="6"/>
  <c r="D38" i="6"/>
  <c r="C40" i="6"/>
  <c r="C38" i="6"/>
  <c r="N29" i="6"/>
  <c r="C35" i="6"/>
  <c r="O29" i="6"/>
  <c r="L27" i="6"/>
  <c r="L33" i="6" s="1"/>
  <c r="L28" i="6"/>
  <c r="L34" i="6" s="1"/>
  <c r="L36" i="6" s="1"/>
  <c r="L31" i="6"/>
  <c r="L30" i="6"/>
  <c r="K27" i="6"/>
  <c r="K33" i="6" s="1"/>
  <c r="K28" i="6"/>
  <c r="K34" i="6" s="1"/>
  <c r="K36" i="6" s="1"/>
  <c r="K30" i="6"/>
  <c r="K31" i="6"/>
  <c r="J27" i="6"/>
  <c r="J33" i="6" s="1"/>
  <c r="J28" i="6"/>
  <c r="J34" i="6" s="1"/>
  <c r="J36" i="6" s="1"/>
  <c r="J30" i="6"/>
  <c r="J31" i="6"/>
  <c r="I27" i="6"/>
  <c r="I33" i="6" s="1"/>
  <c r="I28" i="6"/>
  <c r="I34" i="6" s="1"/>
  <c r="I36" i="6" s="1"/>
  <c r="I30" i="6"/>
  <c r="I31" i="6"/>
  <c r="H27" i="6"/>
  <c r="H33" i="6" s="1"/>
  <c r="H28" i="6"/>
  <c r="H34" i="6" s="1"/>
  <c r="H36" i="6" s="1"/>
  <c r="H30" i="6"/>
  <c r="H31" i="6"/>
  <c r="G30" i="6"/>
  <c r="G31" i="6"/>
  <c r="G27" i="6"/>
  <c r="G33" i="6" s="1"/>
  <c r="G28" i="6"/>
  <c r="G34" i="6" s="1"/>
  <c r="G36" i="6" s="1"/>
  <c r="F28" i="6"/>
  <c r="F34" i="6" s="1"/>
  <c r="F31" i="6"/>
  <c r="F30" i="6"/>
  <c r="F27" i="6"/>
  <c r="F33" i="6" s="1"/>
  <c r="E31" i="6"/>
  <c r="E30" i="6"/>
  <c r="E28" i="6"/>
  <c r="E34" i="6" s="1"/>
  <c r="E36" i="6" s="1"/>
  <c r="E27" i="6"/>
  <c r="E33" i="6" s="1"/>
  <c r="D27" i="6"/>
  <c r="D33" i="6" s="1"/>
  <c r="D31" i="6"/>
  <c r="D30" i="6"/>
  <c r="D28" i="6"/>
  <c r="D34" i="6" s="1"/>
  <c r="D36" i="6" s="1"/>
  <c r="C31" i="6"/>
  <c r="C30" i="6"/>
  <c r="C28" i="6"/>
  <c r="C27" i="6"/>
  <c r="K9" i="6"/>
  <c r="J9" i="6"/>
  <c r="I9" i="6"/>
  <c r="H9" i="6"/>
  <c r="G9" i="6"/>
  <c r="F9" i="6"/>
  <c r="E9" i="6"/>
  <c r="D9" i="6"/>
  <c r="H65" i="3"/>
  <c r="I60" i="3"/>
  <c r="G65" i="3"/>
  <c r="F65" i="3"/>
  <c r="E60" i="3"/>
  <c r="C65" i="3"/>
  <c r="I65" i="3"/>
  <c r="I67" i="3" s="1"/>
  <c r="D65" i="3"/>
  <c r="J60" i="3"/>
  <c r="H60" i="3"/>
  <c r="J65" i="3"/>
  <c r="C60" i="3"/>
  <c r="K60" i="3"/>
  <c r="K65" i="3"/>
  <c r="F79" i="3"/>
  <c r="F60" i="3"/>
  <c r="D60" i="3"/>
  <c r="L60" i="3"/>
  <c r="E65" i="3"/>
  <c r="I79" i="3"/>
  <c r="L65" i="3"/>
  <c r="G60" i="3"/>
  <c r="J79" i="3"/>
  <c r="L44" i="3"/>
  <c r="L9" i="6" s="1"/>
  <c r="F10" i="3"/>
  <c r="K12" i="3"/>
  <c r="K13" i="3" s="1"/>
  <c r="K11" i="6" s="1"/>
  <c r="D10" i="3"/>
  <c r="M25" i="3"/>
  <c r="C12" i="3"/>
  <c r="C18" i="3" s="1"/>
  <c r="C27" i="3" s="1"/>
  <c r="J12" i="3"/>
  <c r="J13" i="3" s="1"/>
  <c r="J11" i="6" s="1"/>
  <c r="C16" i="3"/>
  <c r="C17" i="6" s="1"/>
  <c r="C22" i="3"/>
  <c r="K22" i="3"/>
  <c r="M30" i="3"/>
  <c r="K7" i="3"/>
  <c r="K5" i="6" s="1"/>
  <c r="G16" i="3"/>
  <c r="G17" i="6" s="1"/>
  <c r="E22" i="3"/>
  <c r="M22" i="3"/>
  <c r="F25" i="3"/>
  <c r="F18" i="6" s="1"/>
  <c r="G7" i="3"/>
  <c r="G5" i="6" s="1"/>
  <c r="L10" i="3"/>
  <c r="H16" i="3"/>
  <c r="H17" i="6" s="1"/>
  <c r="G25" i="3"/>
  <c r="G18" i="6" s="1"/>
  <c r="I7" i="3"/>
  <c r="I5" i="6" s="1"/>
  <c r="G12" i="3"/>
  <c r="G22" i="3"/>
  <c r="H22" i="3"/>
  <c r="E16" i="3"/>
  <c r="E17" i="6" s="1"/>
  <c r="F22" i="3"/>
  <c r="F16" i="3"/>
  <c r="F17" i="6" s="1"/>
  <c r="L25" i="3"/>
  <c r="L18" i="6" s="1"/>
  <c r="I10" i="3"/>
  <c r="J16" i="3"/>
  <c r="J17" i="6" s="1"/>
  <c r="E10" i="3"/>
  <c r="I16" i="3"/>
  <c r="I17" i="6" s="1"/>
  <c r="I22" i="3"/>
  <c r="F12" i="3"/>
  <c r="H10" i="3"/>
  <c r="M19" i="3"/>
  <c r="J10" i="3"/>
  <c r="K16" i="3"/>
  <c r="K17" i="6" s="1"/>
  <c r="J22" i="3"/>
  <c r="J7" i="3"/>
  <c r="J5" i="6" s="1"/>
  <c r="J25" i="3"/>
  <c r="J18" i="6" s="1"/>
  <c r="D25" i="3"/>
  <c r="D18" i="6" s="1"/>
  <c r="H25" i="3"/>
  <c r="H18" i="6" s="1"/>
  <c r="D16" i="3"/>
  <c r="D17" i="6" s="1"/>
  <c r="L16" i="3"/>
  <c r="L17" i="6" s="1"/>
  <c r="C25" i="3"/>
  <c r="C18" i="6" s="1"/>
  <c r="K25" i="3"/>
  <c r="K18" i="6" s="1"/>
  <c r="L12" i="3"/>
  <c r="E12" i="3"/>
  <c r="D22" i="3"/>
  <c r="L22" i="3"/>
  <c r="D12" i="3"/>
  <c r="E25" i="3"/>
  <c r="E18" i="6" s="1"/>
  <c r="D7" i="3"/>
  <c r="D5" i="6" s="1"/>
  <c r="L7" i="3"/>
  <c r="L5" i="6" s="1"/>
  <c r="G10" i="3"/>
  <c r="M10" i="3"/>
  <c r="E7" i="3"/>
  <c r="E5" i="6" s="1"/>
  <c r="M7" i="3"/>
  <c r="F7" i="3"/>
  <c r="F5" i="6" s="1"/>
  <c r="H12" i="3"/>
  <c r="I25" i="3"/>
  <c r="I18" i="6" s="1"/>
  <c r="H7" i="3"/>
  <c r="H5" i="6" s="1"/>
  <c r="C10" i="3"/>
  <c r="K10" i="3"/>
  <c r="I12" i="3"/>
  <c r="M12" i="3"/>
  <c r="M13" i="3" s="1"/>
  <c r="O40" i="6" l="1"/>
  <c r="N40" i="6"/>
  <c r="O38" i="6"/>
  <c r="N38" i="6"/>
  <c r="O35" i="6"/>
  <c r="N35" i="6"/>
  <c r="N31" i="6"/>
  <c r="O31" i="6"/>
  <c r="N30" i="6"/>
  <c r="O30" i="6"/>
  <c r="O28" i="6"/>
  <c r="N28" i="6"/>
  <c r="C34" i="6"/>
  <c r="O27" i="6"/>
  <c r="C33" i="6"/>
  <c r="N27" i="6"/>
  <c r="K67" i="3"/>
  <c r="F36" i="6"/>
  <c r="O9" i="6"/>
  <c r="N9" i="6"/>
  <c r="I69" i="3"/>
  <c r="I39" i="6"/>
  <c r="C21" i="6"/>
  <c r="C25" i="6"/>
  <c r="C28" i="3"/>
  <c r="C13" i="6" s="1"/>
  <c r="O17" i="6"/>
  <c r="N17" i="6"/>
  <c r="O18" i="6"/>
  <c r="N18" i="6"/>
  <c r="O5" i="6"/>
  <c r="N5" i="6"/>
  <c r="C19" i="3"/>
  <c r="C12" i="6" s="1"/>
  <c r="G79" i="3"/>
  <c r="J67" i="3"/>
  <c r="H67" i="3"/>
  <c r="E79" i="3"/>
  <c r="C67" i="3"/>
  <c r="K79" i="3"/>
  <c r="H79" i="3"/>
  <c r="C79" i="3"/>
  <c r="L79" i="3"/>
  <c r="G67" i="3"/>
  <c r="F67" i="3"/>
  <c r="D79" i="3"/>
  <c r="L67" i="3"/>
  <c r="D67" i="3"/>
  <c r="E67" i="3"/>
  <c r="J18" i="3"/>
  <c r="J27" i="3" s="1"/>
  <c r="C13" i="3"/>
  <c r="C11" i="6" s="1"/>
  <c r="C30" i="3"/>
  <c r="C31" i="3" s="1"/>
  <c r="C14" i="6" s="1"/>
  <c r="K18" i="3"/>
  <c r="K27" i="3" s="1"/>
  <c r="E18" i="3"/>
  <c r="E27" i="3" s="1"/>
  <c r="E13" i="3"/>
  <c r="E11" i="6" s="1"/>
  <c r="G18" i="3"/>
  <c r="G27" i="3" s="1"/>
  <c r="G13" i="3"/>
  <c r="G11" i="6" s="1"/>
  <c r="F18" i="3"/>
  <c r="F27" i="3" s="1"/>
  <c r="F13" i="3"/>
  <c r="F11" i="6" s="1"/>
  <c r="L18" i="3"/>
  <c r="L27" i="3" s="1"/>
  <c r="L13" i="3"/>
  <c r="L11" i="6" s="1"/>
  <c r="H18" i="3"/>
  <c r="H27" i="3" s="1"/>
  <c r="H13" i="3"/>
  <c r="H11" i="6" s="1"/>
  <c r="M34" i="3"/>
  <c r="M36" i="3"/>
  <c r="M31" i="3"/>
  <c r="I18" i="3"/>
  <c r="I27" i="3" s="1"/>
  <c r="I13" i="3"/>
  <c r="I11" i="6" s="1"/>
  <c r="D18" i="3"/>
  <c r="D27" i="3" s="1"/>
  <c r="D13" i="3"/>
  <c r="D11" i="6" s="1"/>
  <c r="C36" i="6" l="1"/>
  <c r="O34" i="6"/>
  <c r="N34" i="6"/>
  <c r="O33" i="6"/>
  <c r="N33" i="6"/>
  <c r="K69" i="3"/>
  <c r="K39" i="6"/>
  <c r="J69" i="3"/>
  <c r="J39" i="6"/>
  <c r="H69" i="3"/>
  <c r="H39" i="6"/>
  <c r="C69" i="3"/>
  <c r="C39" i="6"/>
  <c r="G69" i="3"/>
  <c r="G39" i="6"/>
  <c r="F69" i="3"/>
  <c r="F39" i="6"/>
  <c r="L69" i="3"/>
  <c r="L39" i="6"/>
  <c r="D69" i="3"/>
  <c r="D39" i="6"/>
  <c r="E69" i="3"/>
  <c r="E39" i="6"/>
  <c r="J7" i="6"/>
  <c r="J21" i="6"/>
  <c r="J25" i="6"/>
  <c r="J28" i="3"/>
  <c r="J13" i="6" s="1"/>
  <c r="O11" i="6"/>
  <c r="N11" i="6"/>
  <c r="K7" i="6"/>
  <c r="K25" i="6"/>
  <c r="K28" i="3"/>
  <c r="K13" i="6" s="1"/>
  <c r="K21" i="6"/>
  <c r="E25" i="6"/>
  <c r="E28" i="3"/>
  <c r="E13" i="6" s="1"/>
  <c r="E7" i="6"/>
  <c r="E21" i="6"/>
  <c r="G21" i="6"/>
  <c r="G28" i="3"/>
  <c r="G13" i="6" s="1"/>
  <c r="G7" i="6"/>
  <c r="G25" i="6"/>
  <c r="F25" i="6"/>
  <c r="F28" i="3"/>
  <c r="F13" i="6" s="1"/>
  <c r="F7" i="6"/>
  <c r="F21" i="6"/>
  <c r="L7" i="6"/>
  <c r="L21" i="6"/>
  <c r="L28" i="3"/>
  <c r="L13" i="6" s="1"/>
  <c r="L25" i="6"/>
  <c r="H25" i="6"/>
  <c r="H28" i="3"/>
  <c r="H13" i="6" s="1"/>
  <c r="H7" i="6"/>
  <c r="H21" i="6"/>
  <c r="I7" i="6"/>
  <c r="I25" i="6"/>
  <c r="I21" i="6"/>
  <c r="I28" i="3"/>
  <c r="I13" i="6" s="1"/>
  <c r="D21" i="6"/>
  <c r="D7" i="6"/>
  <c r="D25" i="6"/>
  <c r="D28" i="3"/>
  <c r="D13" i="6" s="1"/>
  <c r="J19" i="3"/>
  <c r="J12" i="6" s="1"/>
  <c r="J6" i="6"/>
  <c r="K19" i="3"/>
  <c r="K12" i="6" s="1"/>
  <c r="K6" i="6"/>
  <c r="E6" i="6"/>
  <c r="G6" i="6"/>
  <c r="F6" i="6"/>
  <c r="L6" i="6"/>
  <c r="H6" i="6"/>
  <c r="I6" i="6"/>
  <c r="D6" i="6"/>
  <c r="J30" i="3"/>
  <c r="C36" i="3"/>
  <c r="C23" i="6" s="1"/>
  <c r="C34" i="3"/>
  <c r="K30" i="3"/>
  <c r="G19" i="3"/>
  <c r="G12" i="6" s="1"/>
  <c r="G30" i="3"/>
  <c r="F19" i="3"/>
  <c r="F12" i="6" s="1"/>
  <c r="F30" i="3"/>
  <c r="I19" i="3"/>
  <c r="I12" i="6" s="1"/>
  <c r="I30" i="3"/>
  <c r="D19" i="3"/>
  <c r="D12" i="6" s="1"/>
  <c r="D30" i="3"/>
  <c r="H19" i="3"/>
  <c r="H12" i="6" s="1"/>
  <c r="H30" i="3"/>
  <c r="E19" i="3"/>
  <c r="E12" i="6" s="1"/>
  <c r="E30" i="3"/>
  <c r="L19" i="3"/>
  <c r="L12" i="6" s="1"/>
  <c r="L30" i="3"/>
  <c r="M37" i="3"/>
  <c r="M41" i="3"/>
  <c r="O36" i="6" l="1"/>
  <c r="N36" i="6"/>
  <c r="O12" i="6"/>
  <c r="N12" i="6"/>
  <c r="N39" i="6"/>
  <c r="O39" i="6"/>
  <c r="N7" i="6"/>
  <c r="O7" i="6"/>
  <c r="N21" i="6"/>
  <c r="O21" i="6"/>
  <c r="N25" i="6"/>
  <c r="O25" i="6"/>
  <c r="N13" i="6"/>
  <c r="O13" i="6"/>
  <c r="O6" i="6"/>
  <c r="N6" i="6"/>
  <c r="C37" i="3"/>
  <c r="C15" i="6" s="1"/>
  <c r="C41" i="3"/>
  <c r="J31" i="3"/>
  <c r="J14" i="6" s="1"/>
  <c r="K31" i="3"/>
  <c r="K14" i="6" s="1"/>
  <c r="J36" i="3"/>
  <c r="J23" i="6" s="1"/>
  <c r="J34" i="3"/>
  <c r="K36" i="3"/>
  <c r="K23" i="6" s="1"/>
  <c r="K34" i="3"/>
  <c r="M45" i="3"/>
  <c r="M47" i="3" s="1"/>
  <c r="L34" i="3"/>
  <c r="L36" i="3"/>
  <c r="L31" i="3"/>
  <c r="L14" i="6" s="1"/>
  <c r="K41" i="3"/>
  <c r="E34" i="3"/>
  <c r="E36" i="3"/>
  <c r="E23" i="6" s="1"/>
  <c r="E31" i="3"/>
  <c r="E14" i="6" s="1"/>
  <c r="D34" i="3"/>
  <c r="D36" i="3"/>
  <c r="D31" i="3"/>
  <c r="D14" i="6" s="1"/>
  <c r="F31" i="3"/>
  <c r="F14" i="6" s="1"/>
  <c r="F36" i="3"/>
  <c r="F23" i="6" s="1"/>
  <c r="F34" i="3"/>
  <c r="H31" i="3"/>
  <c r="H14" i="6" s="1"/>
  <c r="H34" i="3"/>
  <c r="H36" i="3"/>
  <c r="H23" i="6" s="1"/>
  <c r="G36" i="3"/>
  <c r="G31" i="3"/>
  <c r="G14" i="6" s="1"/>
  <c r="G34" i="3"/>
  <c r="I36" i="3"/>
  <c r="I31" i="3"/>
  <c r="I14" i="6" s="1"/>
  <c r="I34" i="3"/>
  <c r="C19" i="6" l="1"/>
  <c r="C45" i="3"/>
  <c r="C47" i="3" s="1"/>
  <c r="C22" i="6" s="1"/>
  <c r="L8" i="6"/>
  <c r="L23" i="6"/>
  <c r="D8" i="6"/>
  <c r="D23" i="6"/>
  <c r="O14" i="6"/>
  <c r="N14" i="6"/>
  <c r="G8" i="6"/>
  <c r="G23" i="6"/>
  <c r="I8" i="6"/>
  <c r="I23" i="6"/>
  <c r="F8" i="6"/>
  <c r="E8" i="6"/>
  <c r="H8" i="6"/>
  <c r="J41" i="3"/>
  <c r="J8" i="6"/>
  <c r="K37" i="3"/>
  <c r="K15" i="6" s="1"/>
  <c r="K19" i="6" s="1"/>
  <c r="K8" i="6"/>
  <c r="J37" i="3"/>
  <c r="J15" i="6" s="1"/>
  <c r="J19" i="6" s="1"/>
  <c r="K47" i="3"/>
  <c r="K22" i="6" s="1"/>
  <c r="K24" i="6" s="1"/>
  <c r="K45" i="3"/>
  <c r="F37" i="3"/>
  <c r="F15" i="6" s="1"/>
  <c r="F19" i="6" s="1"/>
  <c r="F41" i="3"/>
  <c r="I41" i="3"/>
  <c r="I37" i="3"/>
  <c r="I15" i="6" s="1"/>
  <c r="I19" i="6" s="1"/>
  <c r="D41" i="3"/>
  <c r="D37" i="3"/>
  <c r="D15" i="6" s="1"/>
  <c r="H37" i="3"/>
  <c r="H15" i="6" s="1"/>
  <c r="H19" i="6" s="1"/>
  <c r="H41" i="3"/>
  <c r="E37" i="3"/>
  <c r="E15" i="6" s="1"/>
  <c r="E19" i="6" s="1"/>
  <c r="E41" i="3"/>
  <c r="G37" i="3"/>
  <c r="G15" i="6" s="1"/>
  <c r="G19" i="6" s="1"/>
  <c r="G41" i="3"/>
  <c r="L41" i="3"/>
  <c r="L37" i="3"/>
  <c r="L15" i="6" s="1"/>
  <c r="L19" i="6" s="1"/>
  <c r="N14" i="8" l="1"/>
  <c r="O14" i="8" s="1"/>
  <c r="N17" i="8"/>
  <c r="N16" i="8"/>
  <c r="N15" i="8"/>
  <c r="O15" i="8" s="1"/>
  <c r="N18" i="8"/>
  <c r="O18" i="8" s="1"/>
  <c r="O5" i="8"/>
  <c r="D19" i="6"/>
  <c r="N15" i="6"/>
  <c r="O15" i="6"/>
  <c r="N19" i="6"/>
  <c r="O19" i="6"/>
  <c r="C24" i="6"/>
  <c r="O13" i="8"/>
  <c r="O12" i="8"/>
  <c r="O11" i="8"/>
  <c r="O10" i="8"/>
  <c r="O9" i="8"/>
  <c r="O8" i="8"/>
  <c r="O7" i="8"/>
  <c r="O6" i="8"/>
  <c r="N8" i="6"/>
  <c r="O8" i="6"/>
  <c r="O23" i="6"/>
  <c r="N23" i="6"/>
  <c r="J42" i="3"/>
  <c r="J45" i="3"/>
  <c r="J47" i="3" s="1"/>
  <c r="J22" i="6" s="1"/>
  <c r="J24" i="6" s="1"/>
  <c r="K42" i="3"/>
  <c r="E42" i="3"/>
  <c r="E45" i="3"/>
  <c r="E47" i="3" s="1"/>
  <c r="E22" i="6" s="1"/>
  <c r="E24" i="6" s="1"/>
  <c r="H42" i="3"/>
  <c r="H45" i="3"/>
  <c r="H47" i="3" s="1"/>
  <c r="H22" i="6" s="1"/>
  <c r="H24" i="6" s="1"/>
  <c r="G42" i="3"/>
  <c r="G45" i="3"/>
  <c r="G47" i="3" s="1"/>
  <c r="G22" i="6" s="1"/>
  <c r="G24" i="6" s="1"/>
  <c r="I47" i="3"/>
  <c r="I22" i="6" s="1"/>
  <c r="I24" i="6" s="1"/>
  <c r="I42" i="3"/>
  <c r="I45" i="3"/>
  <c r="F42" i="3"/>
  <c r="F45" i="3"/>
  <c r="F47" i="3" s="1"/>
  <c r="F22" i="6" s="1"/>
  <c r="F24" i="6" s="1"/>
  <c r="L42" i="3"/>
  <c r="L45" i="3"/>
  <c r="L47" i="3" s="1"/>
  <c r="L22" i="6" s="1"/>
  <c r="L24" i="6" s="1"/>
  <c r="M42" i="3"/>
  <c r="D42" i="3"/>
  <c r="D45" i="3"/>
  <c r="D47" i="3" s="1"/>
  <c r="D22" i="6" s="1"/>
  <c r="O17" i="8" l="1"/>
  <c r="O16" i="8"/>
  <c r="O22" i="6"/>
  <c r="N22" i="6"/>
  <c r="D24" i="6"/>
  <c r="N24" i="6" l="1"/>
  <c r="O2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<sst xmlns="http://schemas.openxmlformats.org/spreadsheetml/2006/main" count="184" uniqueCount="136">
  <si>
    <t>COMPANY NAME</t>
  </si>
  <si>
    <t>ITC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</si>
  <si>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</si>
  <si>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</si>
  <si>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</si>
  <si>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</si>
  <si>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</si>
  <si>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</si>
  <si>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</si>
  <si>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</si>
  <si>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</si>
  <si>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</si>
  <si>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</si>
  <si>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</si>
  <si>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</si>
  <si>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</si>
  <si>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</si>
  <si>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</si>
  <si>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</si>
  <si>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</si>
  <si>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</si>
  <si>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</si>
  <si>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</si>
  <si>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</si>
  <si>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</si>
  <si>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</si>
  <si>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</si>
  <si>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</si>
  <si>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</si>
  <si>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</si>
  <si>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</si>
  <si>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</si>
  <si>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</si>
  <si>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</si>
  <si>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</si>
  <si>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</si>
  <si>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</si>
  <si>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</si>
  <si>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</si>
  <si>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</si>
  <si>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</si>
  <si>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</si>
  <si>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</si>
  <si>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</si>
  <si>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</si>
  <si>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</si>
  <si>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</si>
  <si>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</si>
  <si>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</si>
  <si>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</si>
  <si>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</si>
  <si>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</si>
  <si>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</si>
  <si>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</si>
  <si>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</si>
  <si>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</si>
  <si>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</si>
  <si>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</si>
  <si>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</si>
  <si>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</si>
  <si>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</si>
  <si>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</si>
  <si>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</si>
  <si>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</si>
  <si>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</si>
  <si>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</si>
  <si>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</si>
  <si>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</si>
  <si>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</si>
  <si>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</si>
  <si>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</si>
  <si>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</si>
  <si>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</si>
  <si>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</si>
  <si>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</si>
  <si>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</si>
  <si>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</si>
  <si>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</si>
  <si>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</si>
  <si>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</si>
  <si>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</si>
  <si>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</si>
  <si>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</si>
  <si>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</si>
  <si>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</si>
  <si>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</si>
  <si>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</si>
  <si>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</si>
  <si>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</si>
  <si>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</si>
  <si>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</si>
  <si>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</si>
  <si>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Gross Margin</t>
  </si>
  <si>
    <t>EBITDA Margin</t>
  </si>
  <si>
    <t>OperatingIncome%Sales</t>
  </si>
  <si>
    <t>SalesExpenses%Sales</t>
  </si>
  <si>
    <t>SalesGrowth</t>
  </si>
  <si>
    <t>EBIT Growth</t>
  </si>
  <si>
    <t>Self Sustained Growth Rate</t>
  </si>
  <si>
    <t>Retained Earnings%</t>
  </si>
  <si>
    <t>Dividend Growth</t>
  </si>
  <si>
    <t>Net Profit Growth</t>
  </si>
  <si>
    <t>EBITDA Growth</t>
  </si>
  <si>
    <t>EBIT Margin</t>
  </si>
  <si>
    <t>EBT Margin</t>
  </si>
  <si>
    <t>Net Profit Margin</t>
  </si>
  <si>
    <t>Interest Coverage Ratio</t>
  </si>
  <si>
    <t>Debtor Turnover Ratio</t>
  </si>
  <si>
    <t>Inventory Turnover</t>
  </si>
  <si>
    <t>Fixed Asset Turnover</t>
  </si>
  <si>
    <t>Debtor Days</t>
  </si>
  <si>
    <t>Creditor Turnover Ratio</t>
  </si>
  <si>
    <t>Payable Days</t>
  </si>
  <si>
    <t>Capital Turnover Ratio</t>
  </si>
  <si>
    <t>Inventory Days</t>
  </si>
  <si>
    <t>Cash Conversion Cycle</t>
  </si>
  <si>
    <t>Return on Equity%</t>
  </si>
  <si>
    <t>Return on Capital Employed</t>
  </si>
  <si>
    <t>CFO/Sales</t>
  </si>
  <si>
    <t>CFO/Total Assets</t>
  </si>
  <si>
    <t>CFO/Total Debt</t>
  </si>
  <si>
    <t>Trend</t>
  </si>
  <si>
    <t>Mean</t>
  </si>
  <si>
    <t>Median</t>
  </si>
  <si>
    <t>EBIT</t>
  </si>
  <si>
    <t>EBIT Margins</t>
  </si>
  <si>
    <t xml:space="preserve">Year Weight </t>
  </si>
  <si>
    <t xml:space="preserve">Year </t>
  </si>
  <si>
    <t>Other Asset</t>
  </si>
  <si>
    <t>Total Asset</t>
  </si>
  <si>
    <t>Particulars</t>
  </si>
  <si>
    <t>Metric</t>
  </si>
  <si>
    <t>FY17</t>
  </si>
  <si>
    <t>FY26</t>
  </si>
  <si>
    <t>CAGR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</si>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</sst>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  <numFmt numFmtId="168" formatCode="0.00&quot;x&quot;"/>
    <numFmt numFmtId="169" formatCode="0&quot; days&quot;"/>
    <numFmt numFmtId="170" formatCode="&quot;₹&quot;#,##0.0;\(&quot;₹&quot;#,##0.0\)"/>
    <numFmt numFmtId="171" formatCode="yyyy\A"/>
    <numFmt numFmtId="172" formatCode="yyyy\F"/>
    <numFmt numFmtId="173" formatCode="&quot;₹&quot;\ #,##0.00;\(&quot;₹&quot;\ #,##0.00\);\-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0" tint="-0.499984740745262"/>
      <name val="calibri"/>
      <family val="2"/>
    </font>
    <font>
      <sz val="11"/>
      <color rgb="FF00B050"/>
      <name val="calibri"/>
      <family val="2"/>
    </font>
    <font>
      <b/>
      <i/>
      <sz val="11"/>
      <color theme="1"/>
      <name val="calibri"/>
      <family val="2"/>
    </font>
    <font>
      <i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theme="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  <border>
      <left/>
      <right/>
      <top/>
      <bottom style="thin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80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3" fillId="0" borderId="0" xfId="0" applyFont="1"/>
    <xf numFmtId="10" fontId="0" fillId="0" borderId="0" xfId="1" applyNumberFormat="1" applyFont="1"/>
    <xf numFmtId="0" fontId="13" fillId="0" borderId="0" xfId="0" applyFont="1"/>
    <xf numFmtId="0" fontId="13" fillId="0" borderId="0" xfId="0" applyFont="1" applyAlignment="1">
      <alignment horizontal="right"/>
    </xf>
    <xf numFmtId="10" fontId="13" fillId="0" borderId="0" xfId="1" applyNumberFormat="1" applyFont="1"/>
    <xf numFmtId="167" fontId="0" fillId="0" borderId="0" xfId="0" applyNumberFormat="1"/>
    <xf numFmtId="0" fontId="2" fillId="0" borderId="0" xfId="0" applyFont="1"/>
    <xf numFmtId="17" fontId="2" fillId="0" borderId="0" xfId="0" applyNumberFormat="1" applyFont="1"/>
    <xf numFmtId="17" fontId="2" fillId="0" borderId="0" xfId="0" applyNumberFormat="1" applyFont="1" applyAlignment="1">
      <alignment horizontal="right"/>
    </xf>
    <xf numFmtId="0" fontId="3" fillId="5" borderId="0" xfId="0" applyFont="1" applyFill="1"/>
    <xf numFmtId="0" fontId="0" fillId="5" borderId="0" xfId="0" applyFill="1"/>
    <xf numFmtId="166" fontId="3" fillId="0" borderId="0" xfId="0" applyNumberFormat="1" applyFont="1"/>
    <xf numFmtId="17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1" xfId="0" applyBorder="1"/>
    <xf numFmtId="10" fontId="0" fillId="0" borderId="1" xfId="1" applyNumberFormat="1" applyFont="1" applyBorder="1"/>
    <xf numFmtId="10" fontId="0" fillId="0" borderId="0" xfId="1" applyNumberFormat="1" applyFont="1" applyBorder="1"/>
    <xf numFmtId="0" fontId="0" fillId="0" borderId="2" xfId="0" applyBorder="1"/>
    <xf numFmtId="10" fontId="0" fillId="0" borderId="2" xfId="1" applyNumberFormat="1" applyFont="1" applyBorder="1"/>
    <xf numFmtId="168" fontId="0" fillId="0" borderId="2" xfId="1" applyNumberFormat="1" applyFont="1" applyBorder="1"/>
    <xf numFmtId="168" fontId="0" fillId="0" borderId="1" xfId="1" applyNumberFormat="1" applyFont="1" applyBorder="1"/>
    <xf numFmtId="168" fontId="0" fillId="0" borderId="0" xfId="1" applyNumberFormat="1" applyFont="1" applyBorder="1"/>
    <xf numFmtId="169" fontId="0" fillId="0" borderId="1" xfId="0" applyNumberFormat="1" applyBorder="1"/>
    <xf numFmtId="169" fontId="0" fillId="0" borderId="0" xfId="0" applyNumberFormat="1"/>
    <xf numFmtId="169" fontId="0" fillId="0" borderId="2" xfId="0" applyNumberFormat="1" applyBorder="1"/>
    <xf numFmtId="0" fontId="0" fillId="6" borderId="0" xfId="0" applyFill="1"/>
    <xf numFmtId="170" fontId="0" fillId="6" borderId="0" xfId="0" applyNumberFormat="1" applyFill="1"/>
    <xf numFmtId="10" fontId="0" fillId="6" borderId="0" xfId="1" applyNumberFormat="1" applyFont="1" applyFill="1"/>
    <xf numFmtId="171" fontId="0" fillId="0" borderId="0" xfId="0" applyNumberFormat="1"/>
    <xf numFmtId="172" fontId="0" fillId="6" borderId="0" xfId="0" applyNumberFormat="1" applyFill="1"/>
    <xf numFmtId="43" fontId="0" fillId="0" borderId="0" xfId="0" applyNumberFormat="1"/>
    <xf numFmtId="43" fontId="3" fillId="0" borderId="0" xfId="0" applyNumberFormat="1" applyFont="1"/>
    <xf numFmtId="166" fontId="14" fillId="0" borderId="0" xfId="0" applyNumberFormat="1" applyFont="1"/>
    <xf numFmtId="0" fontId="3" fillId="0" borderId="4" xfId="0" applyFont="1" applyBorder="1"/>
    <xf numFmtId="167" fontId="3" fillId="0" borderId="4" xfId="0" applyNumberFormat="1" applyFont="1" applyBorder="1"/>
    <xf numFmtId="167" fontId="14" fillId="0" borderId="0" xfId="0" applyNumberFormat="1" applyFont="1"/>
    <xf numFmtId="166" fontId="3" fillId="0" borderId="4" xfId="0" applyNumberFormat="1" applyFont="1" applyBorder="1"/>
    <xf numFmtId="0" fontId="14" fillId="0" borderId="0" xfId="0" applyFont="1"/>
    <xf numFmtId="173" fontId="14" fillId="0" borderId="0" xfId="0" applyNumberFormat="1" applyFont="1"/>
    <xf numFmtId="0" fontId="15" fillId="0" borderId="0" xfId="0" applyFont="1"/>
    <xf numFmtId="0" fontId="16" fillId="0" borderId="0" xfId="0" applyFont="1"/>
    <xf numFmtId="10" fontId="14" fillId="0" borderId="1" xfId="1" applyNumberFormat="1" applyFont="1" applyBorder="1"/>
    <xf numFmtId="10" fontId="14" fillId="0" borderId="0" xfId="1" applyNumberFormat="1" applyFont="1" applyBorder="1"/>
    <xf numFmtId="10" fontId="14" fillId="0" borderId="2" xfId="1" applyNumberFormat="1" applyFont="1" applyBorder="1"/>
    <xf numFmtId="168" fontId="14" fillId="0" borderId="2" xfId="1" applyNumberFormat="1" applyFont="1" applyBorder="1"/>
    <xf numFmtId="168" fontId="14" fillId="0" borderId="1" xfId="1" applyNumberFormat="1" applyFont="1" applyBorder="1"/>
    <xf numFmtId="168" fontId="14" fillId="0" borderId="0" xfId="1" applyNumberFormat="1" applyFont="1" applyBorder="1"/>
    <xf numFmtId="170" fontId="14" fillId="0" borderId="0" xfId="0" applyNumberFormat="1" applyFont="1"/>
    <xf numFmtId="171" fontId="14" fillId="0" borderId="0" xfId="0" applyNumberFormat="1" applyFont="1"/>
    <xf numFmtId="43" fontId="14" fillId="0" borderId="0" xfId="0" applyNumberFormat="1" applyFont="1"/>
    <xf numFmtId="10" fontId="14" fillId="0" borderId="0" xfId="1" applyNumberFormat="1" applyFont="1"/>
    <xf numFmtId="43" fontId="17" fillId="0" borderId="0" xfId="0" applyNumberFormat="1" applyFont="1"/>
    <xf numFmtId="0" fontId="17" fillId="0" borderId="0" xfId="0" applyFont="1"/>
    <xf numFmtId="10" fontId="17" fillId="0" borderId="0" xfId="1" applyNumberFormat="1" applyFont="1"/>
    <xf numFmtId="0" fontId="18" fillId="7" borderId="3" xfId="0" applyFont="1" applyFill="1" applyBorder="1"/>
    <xf numFmtId="17" fontId="18" fillId="7" borderId="3" xfId="0" applyNumberFormat="1" applyFont="1" applyFill="1" applyBorder="1"/>
    <xf numFmtId="10" fontId="3" fillId="0" borderId="0" xfId="1" applyNumberFormat="1" applyFont="1"/>
    <xf numFmtId="0" fontId="2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43" fontId="2" fillId="4" borderId="0" xfId="0" applyNumberFormat="1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  <xf numFmtId="4" fontId="0" fillId="0" borderId="0" xfId="0" applyNumberFormat="1"/>
    <xf numFmtId="10" fontId="0" fillId="0" borderId="0" xfId="0" applyNumberFormat="1"/>
    <xf numFmtId="170" fontId="0" fillId="0" borderId="0" xfId="0" applyNumberFormat="1"/>
    <xf numFmtId="10" fontId="3" fillId="0" borderId="0" xfId="0" applyNumberFormat="1" applyFont="1"/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E12-E142-48AD-908C-A9ADB1403414}">
  <dimension ref="A2:M79"/>
  <sheetViews>
    <sheetView showGridLines="0" zoomScale="85" zoomScaleNormal="85" workbookViewId="0">
      <pane ySplit="3" topLeftCell="A19" activePane="bottomLeft" state="frozen"/>
      <selection pane="bottomLeft" activeCell="C69" sqref="C69"/>
    </sheetView>
  </sheetViews>
  <sheetFormatPr defaultRowHeight="14.4" x14ac:dyDescent="0.3"/>
  <cols>
    <col min="1" max="1" width="1.88671875" customWidth="1"/>
    <col min="2" max="2" width="28.44140625" bestFit="1" customWidth="1"/>
    <col min="3" max="13" width="13" customWidth="1"/>
  </cols>
  <sheetData>
    <row r="2" spans="1:13" x14ac:dyDescent="0.3">
      <c r="B2" s="71" t="str">
        <f>"Historical Financial Statement - "&amp;'Data Sheet'!B1</f>
        <v>Historical Financial Statement - ITC LTD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x14ac:dyDescent="0.3">
      <c r="B3" s="11" t="s">
        <v>56</v>
      </c>
      <c r="C3" s="12">
        <f>'Data Sheet'!B16</f>
        <v>42825</v>
      </c>
      <c r="D3" s="12">
        <f>'Data Sheet'!C16</f>
        <v>43190</v>
      </c>
      <c r="E3" s="12">
        <f>'Data Sheet'!D16</f>
        <v>43555</v>
      </c>
      <c r="F3" s="12">
        <f>'Data Sheet'!E16</f>
        <v>43921</v>
      </c>
      <c r="G3" s="12">
        <f>'Data Sheet'!F16</f>
        <v>44286</v>
      </c>
      <c r="H3" s="12">
        <f>'Data Sheet'!G16</f>
        <v>44651</v>
      </c>
      <c r="I3" s="12">
        <f>'Data Sheet'!H16</f>
        <v>45016</v>
      </c>
      <c r="J3" s="12">
        <f>'Data Sheet'!I16</f>
        <v>45382</v>
      </c>
      <c r="K3" s="12">
        <f>'Data Sheet'!J16</f>
        <v>45747</v>
      </c>
      <c r="L3" s="12">
        <f>'Data Sheet'!K16</f>
        <v>46112</v>
      </c>
      <c r="M3" s="13" t="s">
        <v>57</v>
      </c>
    </row>
    <row r="4" spans="1:13" x14ac:dyDescent="0.3"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1:13" x14ac:dyDescent="0.3">
      <c r="A5" t="s">
        <v>59</v>
      </c>
      <c r="B5" s="23" t="s">
        <v>58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x14ac:dyDescent="0.3">
      <c r="B6" t="s">
        <v>12</v>
      </c>
      <c r="C6" s="46">
        <f>IFERROR('Data Sheet'!B17,0)</f>
        <v>42767.6</v>
      </c>
      <c r="D6" s="46">
        <f>IFERROR('Data Sheet'!C17,0)</f>
        <v>43448.94</v>
      </c>
      <c r="E6" s="46">
        <f>IFERROR('Data Sheet'!D17,0)</f>
        <v>48339.58</v>
      </c>
      <c r="F6" s="46">
        <f>IFERROR('Data Sheet'!E17,0)</f>
        <v>49387.7</v>
      </c>
      <c r="G6" s="46">
        <f>IFERROR('Data Sheet'!F17,0)</f>
        <v>49257.45</v>
      </c>
      <c r="H6" s="46">
        <f>IFERROR('Data Sheet'!G17,0)</f>
        <v>60644.54</v>
      </c>
      <c r="I6" s="46">
        <f>IFERROR('Data Sheet'!H17,0)</f>
        <v>70919.03</v>
      </c>
      <c r="J6" s="46">
        <f>IFERROR('Data Sheet'!I17,0)</f>
        <v>67931.94</v>
      </c>
      <c r="K6" s="46">
        <f>IFERROR('Data Sheet'!J17,0)</f>
        <v>75323.34</v>
      </c>
      <c r="L6" s="46">
        <f>IFERROR('Data Sheet'!K17,0)</f>
        <v>78868.399999999994</v>
      </c>
      <c r="M6" s="46">
        <f>IFERROR(SUM('Data Sheet'!H42:K42),0)</f>
        <v>76487.98</v>
      </c>
    </row>
    <row r="7" spans="1:13" x14ac:dyDescent="0.3">
      <c r="B7" s="16" t="s">
        <v>60</v>
      </c>
      <c r="C7" s="17" t="s">
        <v>61</v>
      </c>
      <c r="D7" s="18">
        <f>D6/C6-1</f>
        <v>1.5931218960147486E-2</v>
      </c>
      <c r="E7" s="18">
        <f t="shared" ref="E7:M7" si="0">E6/D6-1</f>
        <v>0.11256062863673999</v>
      </c>
      <c r="F7" s="18">
        <f t="shared" si="0"/>
        <v>2.1682439110972673E-2</v>
      </c>
      <c r="G7" s="18">
        <f t="shared" si="0"/>
        <v>-2.6372963308678443E-3</v>
      </c>
      <c r="H7" s="18">
        <f t="shared" si="0"/>
        <v>0.23117497962237188</v>
      </c>
      <c r="I7" s="18">
        <f t="shared" si="0"/>
        <v>0.1694215175842706</v>
      </c>
      <c r="J7" s="18">
        <f t="shared" si="0"/>
        <v>-4.2119724423754779E-2</v>
      </c>
      <c r="K7" s="18">
        <f t="shared" si="0"/>
        <v>0.10880596078957838</v>
      </c>
      <c r="L7" s="18">
        <f t="shared" si="0"/>
        <v>4.7064561927285808E-2</v>
      </c>
      <c r="M7" s="18">
        <f t="shared" si="0"/>
        <v>-3.0182176892139312E-2</v>
      </c>
    </row>
    <row r="9" spans="1:13" x14ac:dyDescent="0.3">
      <c r="B9" t="s">
        <v>62</v>
      </c>
      <c r="C9" s="46">
        <f>IFERROR(SUM('Data Sheet'!B18,'Data Sheet'!B20:B22)-1*'Data Sheet'!B19,0)</f>
        <v>21949.119999999999</v>
      </c>
      <c r="D9" s="46">
        <f>IFERROR(SUM('Data Sheet'!C18,'Data Sheet'!C20:C22)-1*'Data Sheet'!C19,0)</f>
        <v>21967.5</v>
      </c>
      <c r="E9" s="46">
        <f>IFERROR(SUM('Data Sheet'!D18,'Data Sheet'!D20:D22)-1*'Data Sheet'!D19,0)</f>
        <v>24215.95</v>
      </c>
      <c r="F9" s="46">
        <f>IFERROR(SUM('Data Sheet'!E18,'Data Sheet'!E20:E22)-1*'Data Sheet'!E19,0)</f>
        <v>24330.399999999998</v>
      </c>
      <c r="G9" s="46">
        <f>IFERROR(SUM('Data Sheet'!F18,'Data Sheet'!F20:F22)-1*'Data Sheet'!F19,0)</f>
        <v>26881.51</v>
      </c>
      <c r="H9" s="46">
        <f>IFERROR(SUM('Data Sheet'!G18,'Data Sheet'!G20:G22)-1*'Data Sheet'!G19,0)</f>
        <v>34053.060000000005</v>
      </c>
      <c r="I9" s="46">
        <f>IFERROR(SUM('Data Sheet'!H18,'Data Sheet'!H20:H22)-1*'Data Sheet'!H19,0)</f>
        <v>38302.130000000005</v>
      </c>
      <c r="J9" s="46">
        <f>IFERROR(SUM('Data Sheet'!I18,'Data Sheet'!I20:I22)-1*'Data Sheet'!I19,0)</f>
        <v>35665.990000000005</v>
      </c>
      <c r="K9" s="46">
        <f>IFERROR(SUM('Data Sheet'!J18,'Data Sheet'!J20:J22)-1*'Data Sheet'!J19,0)</f>
        <v>41469.21</v>
      </c>
      <c r="L9" s="46">
        <f>IFERROR(SUM('Data Sheet'!K18,'Data Sheet'!K20:K22)-1*'Data Sheet'!K19,0)</f>
        <v>42859.57</v>
      </c>
      <c r="M9" s="46">
        <f>IFERROR(SUM('Data Sheet'!H43:K43),0)</f>
        <v>50805.68</v>
      </c>
    </row>
    <row r="10" spans="1:13" x14ac:dyDescent="0.3">
      <c r="B10" s="16" t="s">
        <v>63</v>
      </c>
      <c r="C10" s="18">
        <f>C9/C6</f>
        <v>0.51321841768067411</v>
      </c>
      <c r="D10" s="18">
        <f t="shared" ref="D10:M10" si="1">D9/D6</f>
        <v>0.50559346211898382</v>
      </c>
      <c r="E10" s="18">
        <f t="shared" si="1"/>
        <v>0.50095491106873502</v>
      </c>
      <c r="F10" s="18">
        <f t="shared" si="1"/>
        <v>0.49264088021916386</v>
      </c>
      <c r="G10" s="18">
        <f t="shared" si="1"/>
        <v>0.54573490913557243</v>
      </c>
      <c r="H10" s="18">
        <f t="shared" si="1"/>
        <v>0.56151897598695621</v>
      </c>
      <c r="I10" s="18">
        <f t="shared" si="1"/>
        <v>0.54008254202010386</v>
      </c>
      <c r="J10" s="18">
        <f t="shared" si="1"/>
        <v>0.52502534154037117</v>
      </c>
      <c r="K10" s="18">
        <f t="shared" si="1"/>
        <v>0.55054927197864567</v>
      </c>
      <c r="L10" s="18">
        <f t="shared" si="1"/>
        <v>0.5434314630447683</v>
      </c>
      <c r="M10" s="18">
        <f t="shared" si="1"/>
        <v>0.66423090268562468</v>
      </c>
    </row>
    <row r="12" spans="1:13" x14ac:dyDescent="0.3">
      <c r="B12" s="47" t="s">
        <v>64</v>
      </c>
      <c r="C12" s="48">
        <f>C6-C9</f>
        <v>20818.48</v>
      </c>
      <c r="D12" s="48">
        <f t="shared" ref="D12:M12" si="2">D6-D9</f>
        <v>21481.440000000002</v>
      </c>
      <c r="E12" s="48">
        <f t="shared" si="2"/>
        <v>24123.63</v>
      </c>
      <c r="F12" s="48">
        <f t="shared" si="2"/>
        <v>25057.3</v>
      </c>
      <c r="G12" s="48">
        <f t="shared" si="2"/>
        <v>22375.94</v>
      </c>
      <c r="H12" s="48">
        <f t="shared" si="2"/>
        <v>26591.479999999996</v>
      </c>
      <c r="I12" s="48">
        <f t="shared" si="2"/>
        <v>32616.899999999994</v>
      </c>
      <c r="J12" s="48">
        <f t="shared" si="2"/>
        <v>32265.949999999997</v>
      </c>
      <c r="K12" s="48">
        <f t="shared" si="2"/>
        <v>33854.129999999997</v>
      </c>
      <c r="L12" s="48">
        <f t="shared" si="2"/>
        <v>36008.829999999994</v>
      </c>
      <c r="M12" s="48">
        <f t="shared" si="2"/>
        <v>25682.299999999996</v>
      </c>
    </row>
    <row r="13" spans="1:13" x14ac:dyDescent="0.3">
      <c r="B13" s="16" t="s">
        <v>70</v>
      </c>
      <c r="C13" s="18">
        <f>C12/C6</f>
        <v>0.48678158231932583</v>
      </c>
      <c r="D13" s="18">
        <f t="shared" ref="D13:M13" si="3">D12/D6</f>
        <v>0.49440653788101624</v>
      </c>
      <c r="E13" s="18">
        <f t="shared" si="3"/>
        <v>0.49904508893126504</v>
      </c>
      <c r="F13" s="18">
        <f t="shared" si="3"/>
        <v>0.50735911978083614</v>
      </c>
      <c r="G13" s="18">
        <f t="shared" si="3"/>
        <v>0.45426509086442762</v>
      </c>
      <c r="H13" s="18">
        <f t="shared" si="3"/>
        <v>0.43848102401304379</v>
      </c>
      <c r="I13" s="18">
        <f t="shared" si="3"/>
        <v>0.45991745797989614</v>
      </c>
      <c r="J13" s="18">
        <f t="shared" si="3"/>
        <v>0.47497465845962877</v>
      </c>
      <c r="K13" s="18">
        <f t="shared" si="3"/>
        <v>0.44945072802135433</v>
      </c>
      <c r="L13" s="18">
        <f t="shared" si="3"/>
        <v>0.4565685369552317</v>
      </c>
      <c r="M13" s="18">
        <f t="shared" si="3"/>
        <v>0.33576909731437538</v>
      </c>
    </row>
    <row r="15" spans="1:13" x14ac:dyDescent="0.3">
      <c r="B15" t="s">
        <v>65</v>
      </c>
      <c r="C15" s="49">
        <f>IFERROR(SUM('Data Sheet'!B23:B24),0)</f>
        <v>5348.9699999999993</v>
      </c>
      <c r="D15" s="49">
        <f>IFERROR(SUM('Data Sheet'!C23:C24),0)</f>
        <v>4960.8500000000004</v>
      </c>
      <c r="E15" s="49">
        <f>IFERROR(SUM('Data Sheet'!D23:D24),0)</f>
        <v>5586.24</v>
      </c>
      <c r="F15" s="49">
        <f>IFERROR(SUM('Data Sheet'!E23:E24),0)</f>
        <v>5713.76</v>
      </c>
      <c r="G15" s="49">
        <f>IFERROR(SUM('Data Sheet'!F23:F24),0)</f>
        <v>5311.1600000000008</v>
      </c>
      <c r="H15" s="49">
        <f>IFERROR(SUM('Data Sheet'!G23:G24),0)</f>
        <v>5968.33</v>
      </c>
      <c r="I15" s="49">
        <f>IFERROR(SUM('Data Sheet'!H23:H24),0)</f>
        <v>6912.6399999999994</v>
      </c>
      <c r="J15" s="49">
        <f>IFERROR(SUM('Data Sheet'!I23:I24),0)</f>
        <v>7078.42</v>
      </c>
      <c r="K15" s="49">
        <f>IFERROR(SUM('Data Sheet'!J23:J24),0)</f>
        <v>8022.55</v>
      </c>
      <c r="L15" s="49">
        <f>IFERROR(SUM('Data Sheet'!K23:K24),0)</f>
        <v>8702.83</v>
      </c>
      <c r="M15" s="19"/>
    </row>
    <row r="16" spans="1:13" x14ac:dyDescent="0.3">
      <c r="B16" s="16" t="s">
        <v>66</v>
      </c>
      <c r="C16" s="18">
        <f>C15/C6</f>
        <v>0.12507061420327537</v>
      </c>
      <c r="D16" s="18">
        <f t="shared" ref="D16:M16" si="4">D15/D6</f>
        <v>0.11417654838069698</v>
      </c>
      <c r="E16" s="18">
        <f t="shared" si="4"/>
        <v>0.11556244386070379</v>
      </c>
      <c r="F16" s="18">
        <f t="shared" si="4"/>
        <v>0.11569196378855465</v>
      </c>
      <c r="G16" s="18">
        <f t="shared" si="4"/>
        <v>0.10782450167436604</v>
      </c>
      <c r="H16" s="18">
        <f t="shared" si="4"/>
        <v>9.8414960357519399E-2</v>
      </c>
      <c r="I16" s="18">
        <f t="shared" si="4"/>
        <v>9.7472286352478302E-2</v>
      </c>
      <c r="J16" s="18">
        <f t="shared" si="4"/>
        <v>0.10419870240714456</v>
      </c>
      <c r="K16" s="18">
        <f t="shared" si="4"/>
        <v>0.10650815537388544</v>
      </c>
      <c r="L16" s="18">
        <f t="shared" si="4"/>
        <v>0.1103462223146406</v>
      </c>
      <c r="M16" s="18">
        <f t="shared" si="4"/>
        <v>0</v>
      </c>
    </row>
    <row r="18" spans="2:13" x14ac:dyDescent="0.3">
      <c r="B18" s="47" t="s">
        <v>28</v>
      </c>
      <c r="C18" s="48">
        <f t="shared" ref="C18:L18" si="5">C12-C15</f>
        <v>15469.51</v>
      </c>
      <c r="D18" s="48">
        <f t="shared" si="5"/>
        <v>16520.590000000004</v>
      </c>
      <c r="E18" s="48">
        <f t="shared" si="5"/>
        <v>18537.39</v>
      </c>
      <c r="F18" s="48">
        <f t="shared" si="5"/>
        <v>19343.54</v>
      </c>
      <c r="G18" s="48">
        <f t="shared" si="5"/>
        <v>17064.78</v>
      </c>
      <c r="H18" s="48">
        <f t="shared" si="5"/>
        <v>20623.149999999994</v>
      </c>
      <c r="I18" s="48">
        <f t="shared" si="5"/>
        <v>25704.259999999995</v>
      </c>
      <c r="J18" s="48">
        <f t="shared" si="5"/>
        <v>25187.53</v>
      </c>
      <c r="K18" s="48">
        <f t="shared" si="5"/>
        <v>25831.579999999998</v>
      </c>
      <c r="L18" s="48">
        <f t="shared" si="5"/>
        <v>27305.999999999993</v>
      </c>
      <c r="M18" s="48">
        <f>IFERROR(SUM('Data Sheet'!H51:K51),0)</f>
        <v>28245.88</v>
      </c>
    </row>
    <row r="19" spans="2:13" x14ac:dyDescent="0.3">
      <c r="B19" s="16" t="s">
        <v>67</v>
      </c>
      <c r="C19" s="18">
        <f>C18/C6</f>
        <v>0.36171096811605047</v>
      </c>
      <c r="D19" s="18">
        <f t="shared" ref="D19:M19" si="6">D18/D6</f>
        <v>0.38022998950031928</v>
      </c>
      <c r="E19" s="18">
        <f t="shared" si="6"/>
        <v>0.38348264507056118</v>
      </c>
      <c r="F19" s="18">
        <f t="shared" si="6"/>
        <v>0.39166715599228152</v>
      </c>
      <c r="G19" s="18">
        <f t="shared" si="6"/>
        <v>0.3464405891900616</v>
      </c>
      <c r="H19" s="18">
        <f t="shared" si="6"/>
        <v>0.34006606365552439</v>
      </c>
      <c r="I19" s="18">
        <f t="shared" si="6"/>
        <v>0.36244517162741785</v>
      </c>
      <c r="J19" s="18">
        <f t="shared" si="6"/>
        <v>0.37077595605248426</v>
      </c>
      <c r="K19" s="18">
        <f t="shared" si="6"/>
        <v>0.34294257264746891</v>
      </c>
      <c r="L19" s="18">
        <f t="shared" si="6"/>
        <v>0.34622231464059111</v>
      </c>
      <c r="M19" s="18">
        <f t="shared" si="6"/>
        <v>0.36928521317990098</v>
      </c>
    </row>
    <row r="21" spans="2:13" x14ac:dyDescent="0.3">
      <c r="B21" t="s">
        <v>22</v>
      </c>
      <c r="C21" s="49">
        <f>IFERROR('Data Sheet'!B27,0)</f>
        <v>49.03</v>
      </c>
      <c r="D21" s="49">
        <f>IFERROR('Data Sheet'!C27,0)</f>
        <v>115.01</v>
      </c>
      <c r="E21" s="49">
        <f>IFERROR('Data Sheet'!D27,0)</f>
        <v>71.400000000000006</v>
      </c>
      <c r="F21" s="49">
        <f>IFERROR('Data Sheet'!E27,0)</f>
        <v>81.38</v>
      </c>
      <c r="G21" s="49">
        <f>IFERROR('Data Sheet'!F27,0)</f>
        <v>57.97</v>
      </c>
      <c r="H21" s="49">
        <f>IFERROR('Data Sheet'!G27,0)</f>
        <v>59.99</v>
      </c>
      <c r="I21" s="49">
        <f>IFERROR('Data Sheet'!H27,0)</f>
        <v>77.77</v>
      </c>
      <c r="J21" s="49">
        <f>IFERROR('Data Sheet'!I27,0)</f>
        <v>39.11</v>
      </c>
      <c r="K21" s="49">
        <f>IFERROR('Data Sheet'!J27,0)</f>
        <v>45.06</v>
      </c>
      <c r="L21" s="49">
        <f>IFERROR('Data Sheet'!K27,0)</f>
        <v>85.17</v>
      </c>
      <c r="M21" s="49">
        <f>IFERROR(SUM('Data Sheet'!H46:K46),0)</f>
        <v>108.47999999999999</v>
      </c>
    </row>
    <row r="22" spans="2:13" x14ac:dyDescent="0.3">
      <c r="B22" s="16" t="s">
        <v>68</v>
      </c>
      <c r="C22" s="18">
        <f t="shared" ref="C22:M22" si="7">C21/C6</f>
        <v>1.146428604831695E-3</v>
      </c>
      <c r="D22" s="18">
        <f t="shared" si="7"/>
        <v>2.647015094039118E-3</v>
      </c>
      <c r="E22" s="18">
        <f t="shared" si="7"/>
        <v>1.4770504832685763E-3</v>
      </c>
      <c r="F22" s="18">
        <f t="shared" si="7"/>
        <v>1.647778697934911E-3</v>
      </c>
      <c r="G22" s="18">
        <f t="shared" si="7"/>
        <v>1.1768778123918311E-3</v>
      </c>
      <c r="H22" s="18">
        <f t="shared" si="7"/>
        <v>9.8920694262006107E-4</v>
      </c>
      <c r="I22" s="18">
        <f t="shared" si="7"/>
        <v>1.0966027031108574E-3</v>
      </c>
      <c r="J22" s="18">
        <f t="shared" si="7"/>
        <v>5.7572329010477244E-4</v>
      </c>
      <c r="K22" s="18">
        <f t="shared" si="7"/>
        <v>5.9822094984104534E-4</v>
      </c>
      <c r="L22" s="18">
        <f t="shared" si="7"/>
        <v>1.0799001881615451E-3</v>
      </c>
      <c r="M22" s="18">
        <f t="shared" si="7"/>
        <v>1.4182620589535766E-3</v>
      </c>
    </row>
    <row r="24" spans="2:13" x14ac:dyDescent="0.3">
      <c r="B24" t="s">
        <v>21</v>
      </c>
      <c r="C24" s="49">
        <f>IFERROR('Data Sheet'!B26,0)</f>
        <v>1152.79</v>
      </c>
      <c r="D24" s="49">
        <f>IFERROR('Data Sheet'!C26,0)</f>
        <v>1236.28</v>
      </c>
      <c r="E24" s="49">
        <f>IFERROR('Data Sheet'!D26,0)</f>
        <v>1396.61</v>
      </c>
      <c r="F24" s="49">
        <f>IFERROR('Data Sheet'!E26,0)</f>
        <v>1644.91</v>
      </c>
      <c r="G24" s="49">
        <f>IFERROR('Data Sheet'!F26,0)</f>
        <v>1645.59</v>
      </c>
      <c r="H24" s="49">
        <f>IFERROR('Data Sheet'!G26,0)</f>
        <v>1732.41</v>
      </c>
      <c r="I24" s="49">
        <f>IFERROR('Data Sheet'!H26,0)</f>
        <v>1809.01</v>
      </c>
      <c r="J24" s="49">
        <f>IFERROR('Data Sheet'!I26,0)</f>
        <v>1518.05</v>
      </c>
      <c r="K24" s="49">
        <f>IFERROR('Data Sheet'!J26,0)</f>
        <v>1646.32</v>
      </c>
      <c r="L24" s="49">
        <f>IFERROR('Data Sheet'!K26,0)</f>
        <v>1710.53</v>
      </c>
      <c r="M24" s="49">
        <f>IFERROR(SUM('Data Sheet'!H45:K45),0)</f>
        <v>1715.3</v>
      </c>
    </row>
    <row r="25" spans="2:13" x14ac:dyDescent="0.3">
      <c r="B25" s="16" t="s">
        <v>69</v>
      </c>
      <c r="C25" s="18">
        <f t="shared" ref="C25:M25" si="8">C24/C6</f>
        <v>2.6954750792656124E-2</v>
      </c>
      <c r="D25" s="18">
        <f t="shared" si="8"/>
        <v>2.845362855802696E-2</v>
      </c>
      <c r="E25" s="18">
        <f t="shared" si="8"/>
        <v>2.8891645314253867E-2</v>
      </c>
      <c r="F25" s="18">
        <f t="shared" si="8"/>
        <v>3.3306066085280348E-2</v>
      </c>
      <c r="G25" s="18">
        <f t="shared" si="8"/>
        <v>3.3407941336792708E-2</v>
      </c>
      <c r="H25" s="18">
        <f t="shared" si="8"/>
        <v>2.8566627762367396E-2</v>
      </c>
      <c r="I25" s="18">
        <f t="shared" si="8"/>
        <v>2.550810410125463E-2</v>
      </c>
      <c r="J25" s="18">
        <f t="shared" si="8"/>
        <v>2.2346631054552542E-2</v>
      </c>
      <c r="K25" s="18">
        <f t="shared" si="8"/>
        <v>2.1856704707996222E-2</v>
      </c>
      <c r="L25" s="18">
        <f t="shared" si="8"/>
        <v>2.1688407524433108E-2</v>
      </c>
      <c r="M25" s="18">
        <f t="shared" si="8"/>
        <v>2.2425745849217093E-2</v>
      </c>
    </row>
    <row r="27" spans="2:13" x14ac:dyDescent="0.3">
      <c r="B27" s="47" t="s">
        <v>124</v>
      </c>
      <c r="C27" s="48">
        <f>IFERROR(C18-C24,0)</f>
        <v>14316.720000000001</v>
      </c>
      <c r="D27" s="48">
        <f>IFERROR(D18-D24,0)</f>
        <v>15284.310000000003</v>
      </c>
      <c r="E27" s="48">
        <f t="shared" ref="E27:M27" si="9">IFERROR(E18-E24,0)</f>
        <v>17140.78</v>
      </c>
      <c r="F27" s="48">
        <f t="shared" si="9"/>
        <v>17698.63</v>
      </c>
      <c r="G27" s="48">
        <f t="shared" si="9"/>
        <v>15419.189999999999</v>
      </c>
      <c r="H27" s="48">
        <f t="shared" si="9"/>
        <v>18890.739999999994</v>
      </c>
      <c r="I27" s="48">
        <f t="shared" si="9"/>
        <v>23895.249999999996</v>
      </c>
      <c r="J27" s="48">
        <f t="shared" si="9"/>
        <v>23669.48</v>
      </c>
      <c r="K27" s="48">
        <f t="shared" si="9"/>
        <v>24185.26</v>
      </c>
      <c r="L27" s="48">
        <f t="shared" si="9"/>
        <v>25595.469999999994</v>
      </c>
      <c r="M27" s="48">
        <f t="shared" si="9"/>
        <v>26530.58</v>
      </c>
    </row>
    <row r="28" spans="2:13" x14ac:dyDescent="0.3">
      <c r="B28" s="16" t="s">
        <v>125</v>
      </c>
      <c r="C28" s="18">
        <f>C27/C6</f>
        <v>0.33475621732339439</v>
      </c>
      <c r="D28" s="18">
        <f t="shared" ref="D28:M28" si="10">D27/D6</f>
        <v>0.35177636094229231</v>
      </c>
      <c r="E28" s="18">
        <f t="shared" si="10"/>
        <v>0.35459099975630731</v>
      </c>
      <c r="F28" s="18">
        <f t="shared" si="10"/>
        <v>0.35836108990700116</v>
      </c>
      <c r="G28" s="18">
        <f t="shared" si="10"/>
        <v>0.3130326478532689</v>
      </c>
      <c r="H28" s="18">
        <f t="shared" si="10"/>
        <v>0.31149943589315698</v>
      </c>
      <c r="I28" s="18">
        <f t="shared" si="10"/>
        <v>0.33693706752616326</v>
      </c>
      <c r="J28" s="18">
        <f t="shared" si="10"/>
        <v>0.34842932499793172</v>
      </c>
      <c r="K28" s="18">
        <f t="shared" si="10"/>
        <v>0.32108586793947269</v>
      </c>
      <c r="L28" s="18">
        <f t="shared" si="10"/>
        <v>0.32453390711615798</v>
      </c>
      <c r="M28" s="18">
        <f t="shared" si="10"/>
        <v>0.3468594673306839</v>
      </c>
    </row>
    <row r="30" spans="2:13" x14ac:dyDescent="0.3">
      <c r="B30" s="47" t="s">
        <v>71</v>
      </c>
      <c r="C30" s="48">
        <f t="shared" ref="C30:M30" si="11">IFERROR(C18-SUM(C24,C21),0)</f>
        <v>14267.69</v>
      </c>
      <c r="D30" s="48">
        <f t="shared" si="11"/>
        <v>15169.300000000003</v>
      </c>
      <c r="E30" s="48">
        <f t="shared" si="11"/>
        <v>17069.38</v>
      </c>
      <c r="F30" s="48">
        <f t="shared" si="11"/>
        <v>17617.25</v>
      </c>
      <c r="G30" s="48">
        <f t="shared" si="11"/>
        <v>15361.22</v>
      </c>
      <c r="H30" s="48">
        <f t="shared" si="11"/>
        <v>18830.749999999993</v>
      </c>
      <c r="I30" s="50">
        <f t="shared" si="11"/>
        <v>23817.479999999996</v>
      </c>
      <c r="J30" s="50">
        <f t="shared" si="11"/>
        <v>23630.37</v>
      </c>
      <c r="K30" s="50">
        <f t="shared" si="11"/>
        <v>24140.199999999997</v>
      </c>
      <c r="L30" s="50">
        <f t="shared" si="11"/>
        <v>25510.299999999992</v>
      </c>
      <c r="M30" s="50">
        <f t="shared" si="11"/>
        <v>26422.100000000002</v>
      </c>
    </row>
    <row r="31" spans="2:13" x14ac:dyDescent="0.3">
      <c r="B31" s="16" t="s">
        <v>72</v>
      </c>
      <c r="C31" s="18">
        <f t="shared" ref="C31:M31" si="12">C30/C6</f>
        <v>0.33360978871856267</v>
      </c>
      <c r="D31" s="18">
        <f t="shared" si="12"/>
        <v>0.34912934584825317</v>
      </c>
      <c r="E31" s="18">
        <f t="shared" si="12"/>
        <v>0.3531139492730388</v>
      </c>
      <c r="F31" s="18">
        <f t="shared" si="12"/>
        <v>0.35671331120906624</v>
      </c>
      <c r="G31" s="18">
        <f t="shared" si="12"/>
        <v>0.31185577004087706</v>
      </c>
      <c r="H31" s="18">
        <f t="shared" si="12"/>
        <v>0.31051022895053687</v>
      </c>
      <c r="I31" s="18">
        <f t="shared" si="12"/>
        <v>0.33584046482305235</v>
      </c>
      <c r="J31" s="18">
        <f t="shared" si="12"/>
        <v>0.34785360170782698</v>
      </c>
      <c r="K31" s="18">
        <f t="shared" si="12"/>
        <v>0.32048764698963161</v>
      </c>
      <c r="L31" s="18">
        <f t="shared" si="12"/>
        <v>0.32345400692799642</v>
      </c>
      <c r="M31" s="18">
        <f t="shared" si="12"/>
        <v>0.34544120527173033</v>
      </c>
    </row>
    <row r="33" spans="2:13" x14ac:dyDescent="0.3">
      <c r="B33" t="s">
        <v>24</v>
      </c>
      <c r="C33" s="46">
        <f>IFERROR('Data Sheet'!B29,0)</f>
        <v>5549.09</v>
      </c>
      <c r="D33" s="46">
        <f>IFERROR('Data Sheet'!C29,0)</f>
        <v>5916.43</v>
      </c>
      <c r="E33" s="46">
        <f>IFERROR('Data Sheet'!D29,0)</f>
        <v>6313.92</v>
      </c>
      <c r="F33" s="46">
        <f>IFERROR('Data Sheet'!E29,0)</f>
        <v>4441.79</v>
      </c>
      <c r="G33" s="46">
        <f>IFERROR('Data Sheet'!F29,0)</f>
        <v>4555.29</v>
      </c>
      <c r="H33" s="46">
        <f>IFERROR('Data Sheet'!G29,0)</f>
        <v>5237.34</v>
      </c>
      <c r="I33" s="46">
        <f>IFERROR('Data Sheet'!H29,0)</f>
        <v>6438.4</v>
      </c>
      <c r="J33" s="46">
        <f>IFERROR('Data Sheet'!I29,0)</f>
        <v>6209.46</v>
      </c>
      <c r="K33" s="46">
        <f>IFERROR('Data Sheet'!J29,0)</f>
        <v>6890.47</v>
      </c>
      <c r="L33" s="46">
        <f>IFERROR('Data Sheet'!K29,0)</f>
        <v>7015.24</v>
      </c>
      <c r="M33" s="46">
        <f>IFERROR(SUM('Data Sheet'!H48:K48),0)</f>
        <v>6582.7000000000007</v>
      </c>
    </row>
    <row r="34" spans="2:13" x14ac:dyDescent="0.3">
      <c r="B34" s="16" t="s">
        <v>27</v>
      </c>
      <c r="C34" s="18">
        <f>C33/C30</f>
        <v>0.3889270092075171</v>
      </c>
      <c r="D34" s="18">
        <f t="shared" ref="D34:M34" si="13">D33/D30</f>
        <v>0.3900265668158715</v>
      </c>
      <c r="E34" s="18">
        <f t="shared" si="13"/>
        <v>0.36989744208635578</v>
      </c>
      <c r="F34" s="18">
        <f t="shared" si="13"/>
        <v>0.25212731839532276</v>
      </c>
      <c r="G34" s="18">
        <f t="shared" si="13"/>
        <v>0.29654480568600672</v>
      </c>
      <c r="H34" s="18">
        <f t="shared" si="13"/>
        <v>0.27812699972120081</v>
      </c>
      <c r="I34" s="18">
        <f t="shared" si="13"/>
        <v>0.27032246904374435</v>
      </c>
      <c r="J34" s="18">
        <f t="shared" si="13"/>
        <v>0.2627745566404589</v>
      </c>
      <c r="K34" s="18">
        <f t="shared" si="13"/>
        <v>0.28543549763465098</v>
      </c>
      <c r="L34" s="18">
        <f t="shared" si="13"/>
        <v>0.2749963740136338</v>
      </c>
      <c r="M34" s="18">
        <f t="shared" si="13"/>
        <v>0.2491361398223457</v>
      </c>
    </row>
    <row r="36" spans="2:13" x14ac:dyDescent="0.3">
      <c r="B36" s="47" t="s">
        <v>73</v>
      </c>
      <c r="C36" s="50">
        <f>IFERROR(C30-C33,0)</f>
        <v>8718.6</v>
      </c>
      <c r="D36" s="50">
        <f t="shared" ref="D36:M36" si="14">IFERROR(D30-D33,0)</f>
        <v>9252.8700000000026</v>
      </c>
      <c r="E36" s="50">
        <f t="shared" si="14"/>
        <v>10755.460000000001</v>
      </c>
      <c r="F36" s="50">
        <f t="shared" si="14"/>
        <v>13175.46</v>
      </c>
      <c r="G36" s="50">
        <f t="shared" si="14"/>
        <v>10805.93</v>
      </c>
      <c r="H36" s="50">
        <f t="shared" si="14"/>
        <v>13593.409999999993</v>
      </c>
      <c r="I36" s="50">
        <f t="shared" si="14"/>
        <v>17379.079999999994</v>
      </c>
      <c r="J36" s="50">
        <f t="shared" si="14"/>
        <v>17420.91</v>
      </c>
      <c r="K36" s="50">
        <f t="shared" si="14"/>
        <v>17249.729999999996</v>
      </c>
      <c r="L36" s="50">
        <f t="shared" si="14"/>
        <v>18495.05999999999</v>
      </c>
      <c r="M36" s="50">
        <f t="shared" si="14"/>
        <v>19839.400000000001</v>
      </c>
    </row>
    <row r="37" spans="2:13" x14ac:dyDescent="0.3">
      <c r="B37" s="16" t="s">
        <v>74</v>
      </c>
      <c r="C37" s="18">
        <f t="shared" ref="C37:M37" si="15">C36/C6</f>
        <v>0.20385993134990041</v>
      </c>
      <c r="D37" s="18">
        <f t="shared" si="15"/>
        <v>0.21295962571238797</v>
      </c>
      <c r="E37" s="18">
        <f t="shared" si="15"/>
        <v>0.22249800267193054</v>
      </c>
      <c r="F37" s="18">
        <f t="shared" si="15"/>
        <v>0.26677614061800814</v>
      </c>
      <c r="G37" s="18">
        <f t="shared" si="15"/>
        <v>0.21937656131204519</v>
      </c>
      <c r="H37" s="18">
        <f t="shared" si="15"/>
        <v>0.2241489505897809</v>
      </c>
      <c r="I37" s="18">
        <f t="shared" si="15"/>
        <v>0.24505524116728605</v>
      </c>
      <c r="J37" s="18">
        <f t="shared" si="15"/>
        <v>0.25644652574326599</v>
      </c>
      <c r="K37" s="18">
        <f t="shared" si="15"/>
        <v>0.22900909598538774</v>
      </c>
      <c r="L37" s="18">
        <f t="shared" si="15"/>
        <v>0.2345053278626166</v>
      </c>
      <c r="M37" s="18">
        <f t="shared" si="15"/>
        <v>0.25937931685475291</v>
      </c>
    </row>
    <row r="39" spans="2:13" x14ac:dyDescent="0.3">
      <c r="B39" t="s">
        <v>75</v>
      </c>
      <c r="C39" s="51">
        <f>IFERROR('Data Sheet'!B93,0)</f>
        <v>1214.74</v>
      </c>
      <c r="D39" s="51">
        <f>IFERROR('Data Sheet'!C93,0)</f>
        <v>1220.43</v>
      </c>
      <c r="E39" s="51">
        <f>IFERROR('Data Sheet'!D93,0)</f>
        <v>1225.8599999999999</v>
      </c>
      <c r="F39" s="51">
        <f>IFERROR('Data Sheet'!E93,0)</f>
        <v>1229.22</v>
      </c>
      <c r="G39" s="51">
        <f>IFERROR('Data Sheet'!F93,0)</f>
        <v>1230.8800000000001</v>
      </c>
      <c r="H39" s="51">
        <f>IFERROR('Data Sheet'!G93,0)</f>
        <v>1232.33</v>
      </c>
      <c r="I39" s="51">
        <f>IFERROR('Data Sheet'!H93,0)</f>
        <v>1242.8</v>
      </c>
      <c r="J39" s="51">
        <f>IFERROR('Data Sheet'!I93,0)</f>
        <v>1248.47</v>
      </c>
      <c r="K39" s="51">
        <f>IFERROR('Data Sheet'!J93,0)</f>
        <v>1251.4100000000001</v>
      </c>
      <c r="L39" s="51">
        <f>IFERROR('Data Sheet'!K93,0)</f>
        <v>1252.95</v>
      </c>
      <c r="M39" s="51">
        <f>L39</f>
        <v>1252.95</v>
      </c>
    </row>
    <row r="40" spans="2:13" x14ac:dyDescent="0.3"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2:13" x14ac:dyDescent="0.3">
      <c r="B41" t="s">
        <v>77</v>
      </c>
      <c r="C41" s="19">
        <f>IFERROR(C36/C39,0)</f>
        <v>7.1773383604722003</v>
      </c>
      <c r="D41" s="19">
        <f t="shared" ref="D41:M41" si="16">IFERROR(D36/D39,0)</f>
        <v>7.5816474521275303</v>
      </c>
      <c r="E41" s="19">
        <f t="shared" si="16"/>
        <v>8.7738077757655866</v>
      </c>
      <c r="F41" s="19">
        <f t="shared" si="16"/>
        <v>10.718553228876848</v>
      </c>
      <c r="G41" s="19">
        <f t="shared" si="16"/>
        <v>8.7790280124788769</v>
      </c>
      <c r="H41" s="19">
        <f t="shared" si="16"/>
        <v>11.030657372619341</v>
      </c>
      <c r="I41" s="19">
        <f t="shared" si="16"/>
        <v>13.983810749919533</v>
      </c>
      <c r="J41" s="19">
        <f t="shared" si="16"/>
        <v>13.953807460331445</v>
      </c>
      <c r="K41" s="19">
        <f t="shared" si="16"/>
        <v>13.784235382488548</v>
      </c>
      <c r="L41" s="19">
        <f t="shared" si="16"/>
        <v>14.761211540763789</v>
      </c>
      <c r="M41" s="19">
        <f t="shared" si="16"/>
        <v>15.834151402689653</v>
      </c>
    </row>
    <row r="42" spans="2:13" x14ac:dyDescent="0.3">
      <c r="B42" s="16" t="s">
        <v>78</v>
      </c>
      <c r="C42" s="18"/>
      <c r="D42" s="18">
        <f>IFERROR(D41/C41-1,0)</f>
        <v>5.633134058190481E-2</v>
      </c>
      <c r="E42" s="18">
        <f t="shared" ref="E42:M42" si="17">IFERROR(E41/D41-1,0)</f>
        <v>0.15724291206702268</v>
      </c>
      <c r="F42" s="18">
        <f t="shared" si="17"/>
        <v>0.22165352864042731</v>
      </c>
      <c r="G42" s="18">
        <f t="shared" si="17"/>
        <v>-0.18095028078721465</v>
      </c>
      <c r="H42" s="18">
        <f t="shared" si="17"/>
        <v>0.25647820657821163</v>
      </c>
      <c r="I42" s="18">
        <f t="shared" si="17"/>
        <v>0.26772233762156428</v>
      </c>
      <c r="J42" s="18">
        <f t="shared" si="17"/>
        <v>-2.1455732006571138E-3</v>
      </c>
      <c r="K42" s="18">
        <f t="shared" si="17"/>
        <v>-1.2152387678055931E-2</v>
      </c>
      <c r="L42" s="18">
        <f t="shared" si="17"/>
        <v>7.08763403384991E-2</v>
      </c>
      <c r="M42" s="18">
        <f t="shared" si="17"/>
        <v>7.2686436270010146E-2</v>
      </c>
    </row>
    <row r="44" spans="2:13" x14ac:dyDescent="0.3">
      <c r="B44" t="s">
        <v>76</v>
      </c>
      <c r="C44" s="52">
        <f>IFERROR('Data Sheet'!B31/'Historical FS'!C39,0)</f>
        <v>4.7500041161071511</v>
      </c>
      <c r="D44" s="52">
        <f>IFERROR('Data Sheet'!C31/'Historical FS'!D39,0)</f>
        <v>5.1499963127750057</v>
      </c>
      <c r="E44" s="46">
        <f>IFERROR('Data Sheet'!D31/'Historical FS'!E39,0)</f>
        <v>5.7500040787691908</v>
      </c>
      <c r="F44" s="46">
        <f>IFERROR('Data Sheet'!E31/'Historical FS'!F39,0)</f>
        <v>10.149997559427929</v>
      </c>
      <c r="G44" s="46">
        <f>IFERROR('Data Sheet'!F31/'Historical FS'!G39,0)</f>
        <v>10.749999999999998</v>
      </c>
      <c r="H44" s="46">
        <f>IFERROR('Data Sheet'!G31/'Historical FS'!H39,0)</f>
        <v>11.500004057354767</v>
      </c>
      <c r="I44" s="46">
        <f>IFERROR('Data Sheet'!H31/'Historical FS'!I39,0)</f>
        <v>15.500000000000002</v>
      </c>
      <c r="J44" s="46">
        <f>IFERROR('Data Sheet'!I31/'Historical FS'!J39,0)</f>
        <v>13.749997997548999</v>
      </c>
      <c r="K44" s="46">
        <f>IFERROR('Data Sheet'!J31/'Historical FS'!K39,0)</f>
        <v>14.349997203154841</v>
      </c>
      <c r="L44" s="46">
        <f>IFERROR('Data Sheet'!K31/'Historical FS'!L39,0)</f>
        <v>14.500003990582224</v>
      </c>
      <c r="M44" s="46">
        <f>IFERROR('Data Sheet'!L31/'Historical FS'!M39,0)</f>
        <v>0</v>
      </c>
    </row>
    <row r="45" spans="2:13" x14ac:dyDescent="0.3">
      <c r="B45" s="16" t="s">
        <v>79</v>
      </c>
      <c r="C45" s="18">
        <f>IFERROR(C44/C41,0)</f>
        <v>0.66180579450829269</v>
      </c>
      <c r="D45" s="18">
        <f t="shared" ref="D45:M45" si="18">IFERROR(D44/D41,0)</f>
        <v>0.67927140443991962</v>
      </c>
      <c r="E45" s="18">
        <f t="shared" si="18"/>
        <v>0.65536016125763097</v>
      </c>
      <c r="F45" s="18">
        <f t="shared" si="18"/>
        <v>0.94695593170940517</v>
      </c>
      <c r="G45" s="18">
        <f t="shared" si="18"/>
        <v>1.2245091352618422</v>
      </c>
      <c r="H45" s="18">
        <f t="shared" si="18"/>
        <v>1.0425492941064831</v>
      </c>
      <c r="I45" s="18">
        <f t="shared" si="18"/>
        <v>1.108424611659536</v>
      </c>
      <c r="J45" s="18">
        <f t="shared" si="18"/>
        <v>0.98539398917737353</v>
      </c>
      <c r="K45" s="18">
        <f t="shared" si="18"/>
        <v>1.0410441206905849</v>
      </c>
      <c r="L45" s="18">
        <f t="shared" si="18"/>
        <v>0.98230446400282068</v>
      </c>
      <c r="M45" s="18">
        <f t="shared" si="18"/>
        <v>0</v>
      </c>
    </row>
    <row r="47" spans="2:13" x14ac:dyDescent="0.3">
      <c r="B47" t="s">
        <v>80</v>
      </c>
      <c r="C47" s="15">
        <f>IFERROR(IF(C41&gt;C44,1-C45,0),0)</f>
        <v>0.33819420549170731</v>
      </c>
      <c r="D47" s="15">
        <f t="shared" ref="D47:M47" si="19">IFERROR(IF(D41&gt;D44,1-D45,0),0)</f>
        <v>0.32072859556008038</v>
      </c>
      <c r="E47" s="15">
        <f t="shared" si="19"/>
        <v>0.34463983874236903</v>
      </c>
      <c r="F47" s="15">
        <f t="shared" si="19"/>
        <v>5.3044068290594826E-2</v>
      </c>
      <c r="G47" s="15">
        <f t="shared" si="19"/>
        <v>0</v>
      </c>
      <c r="H47" s="15">
        <f t="shared" si="19"/>
        <v>0</v>
      </c>
      <c r="I47" s="15">
        <f t="shared" si="19"/>
        <v>0</v>
      </c>
      <c r="J47" s="15">
        <f t="shared" si="19"/>
        <v>1.460601082262647E-2</v>
      </c>
      <c r="K47" s="15">
        <f t="shared" si="19"/>
        <v>0</v>
      </c>
      <c r="L47" s="15">
        <f t="shared" si="19"/>
        <v>1.7695535997179324E-2</v>
      </c>
      <c r="M47" s="15">
        <f t="shared" si="19"/>
        <v>1</v>
      </c>
    </row>
    <row r="49" spans="1:13" x14ac:dyDescent="0.3">
      <c r="A49" t="s">
        <v>59</v>
      </c>
      <c r="B49" s="23" t="s">
        <v>81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1:13" x14ac:dyDescent="0.3">
      <c r="B50" t="s">
        <v>33</v>
      </c>
      <c r="C50" s="46">
        <f>IFERROR('Data Sheet'!B57,0)</f>
        <v>1214.74</v>
      </c>
      <c r="D50" s="46">
        <f>IFERROR('Data Sheet'!C57,0)</f>
        <v>1220.43</v>
      </c>
      <c r="E50" s="46">
        <f>IFERROR('Data Sheet'!D57,0)</f>
        <v>1225.8599999999999</v>
      </c>
      <c r="F50" s="46">
        <f>IFERROR('Data Sheet'!E57,0)</f>
        <v>1229.22</v>
      </c>
      <c r="G50" s="46">
        <f>IFERROR('Data Sheet'!F57,0)</f>
        <v>1230.8800000000001</v>
      </c>
      <c r="H50" s="46">
        <f>IFERROR('Data Sheet'!G57,0)</f>
        <v>1232.33</v>
      </c>
      <c r="I50" s="46">
        <f>IFERROR('Data Sheet'!H57,0)</f>
        <v>1242.8</v>
      </c>
      <c r="J50" s="46">
        <f>IFERROR('Data Sheet'!I57,0)</f>
        <v>1248.47</v>
      </c>
      <c r="K50" s="46">
        <f>IFERROR('Data Sheet'!J57,0)</f>
        <v>1251.4100000000001</v>
      </c>
      <c r="L50" s="46">
        <f>IFERROR('Data Sheet'!K57,0)</f>
        <v>1252.95</v>
      </c>
    </row>
    <row r="51" spans="1:13" x14ac:dyDescent="0.3">
      <c r="B51" t="s">
        <v>34</v>
      </c>
      <c r="C51" s="46">
        <f>IFERROR('Data Sheet'!B58,0)</f>
        <v>45198.19</v>
      </c>
      <c r="D51" s="46">
        <f>IFERROR('Data Sheet'!C58,0)</f>
        <v>51289.68</v>
      </c>
      <c r="E51" s="46">
        <f>IFERROR('Data Sheet'!D58,0)</f>
        <v>57915.01</v>
      </c>
      <c r="F51" s="46">
        <f>IFERROR('Data Sheet'!E58,0)</f>
        <v>64044.04</v>
      </c>
      <c r="G51" s="46">
        <f>IFERROR('Data Sheet'!F58,0)</f>
        <v>59116.46</v>
      </c>
      <c r="H51" s="46">
        <f>IFERROR('Data Sheet'!G58,0)</f>
        <v>61223.24</v>
      </c>
      <c r="I51" s="46">
        <f>IFERROR('Data Sheet'!H58,0)</f>
        <v>67912.460000000006</v>
      </c>
      <c r="J51" s="46">
        <f>IFERROR('Data Sheet'!I58,0)</f>
        <v>73258.53</v>
      </c>
      <c r="K51" s="46">
        <f>IFERROR('Data Sheet'!J58,0)</f>
        <v>68778.64</v>
      </c>
      <c r="L51" s="46">
        <f>IFERROR('Data Sheet'!K58,0)</f>
        <v>71254.350000000006</v>
      </c>
    </row>
    <row r="52" spans="1:13" x14ac:dyDescent="0.3">
      <c r="B52" t="s">
        <v>35</v>
      </c>
      <c r="C52" s="46">
        <f>IFERROR('Data Sheet'!B59,0)</f>
        <v>45.72</v>
      </c>
      <c r="D52" s="46">
        <f>IFERROR('Data Sheet'!C59,0)</f>
        <v>35.92</v>
      </c>
      <c r="E52" s="46">
        <f>IFERROR('Data Sheet'!D59,0)</f>
        <v>13.44</v>
      </c>
      <c r="F52" s="46">
        <f>IFERROR('Data Sheet'!E59,0)</f>
        <v>277.45</v>
      </c>
      <c r="G52" s="46">
        <f>IFERROR('Data Sheet'!F59,0)</f>
        <v>270.83</v>
      </c>
      <c r="H52" s="46">
        <f>IFERROR('Data Sheet'!G59,0)</f>
        <v>249.44</v>
      </c>
      <c r="I52" s="46">
        <f>IFERROR('Data Sheet'!H59,0)</f>
        <v>306.04000000000002</v>
      </c>
      <c r="J52" s="46">
        <f>IFERROR('Data Sheet'!I59,0)</f>
        <v>303.43</v>
      </c>
      <c r="K52" s="46">
        <f>IFERROR('Data Sheet'!J59,0)</f>
        <v>284.54000000000002</v>
      </c>
      <c r="L52" s="46">
        <f>IFERROR('Data Sheet'!K59,0)</f>
        <v>2399.06</v>
      </c>
    </row>
    <row r="53" spans="1:13" x14ac:dyDescent="0.3">
      <c r="B53" t="s">
        <v>36</v>
      </c>
      <c r="C53" s="46">
        <f>IFERROR('Data Sheet'!B60,0)</f>
        <v>9439.67</v>
      </c>
      <c r="D53" s="46">
        <f>IFERROR('Data Sheet'!C60,0)</f>
        <v>11694.85</v>
      </c>
      <c r="E53" s="46">
        <f>IFERROR('Data Sheet'!D60,0)</f>
        <v>12584.73</v>
      </c>
      <c r="F53" s="46">
        <f>IFERROR('Data Sheet'!E60,0)</f>
        <v>11760.04</v>
      </c>
      <c r="G53" s="46">
        <f>IFERROR('Data Sheet'!F60,0)</f>
        <v>13142.59</v>
      </c>
      <c r="H53" s="46">
        <f>IFERROR('Data Sheet'!G60,0)</f>
        <v>14491.01</v>
      </c>
      <c r="I53" s="46">
        <f>IFERROR('Data Sheet'!H60,0)</f>
        <v>16369.66</v>
      </c>
      <c r="J53" s="46">
        <f>IFERROR('Data Sheet'!I60,0)</f>
        <v>16943.54</v>
      </c>
      <c r="K53" s="46">
        <f>IFERROR('Data Sheet'!J60,0)</f>
        <v>17688.11</v>
      </c>
      <c r="L53" s="46">
        <f>IFERROR('Data Sheet'!K60,0)</f>
        <v>18730.84</v>
      </c>
    </row>
    <row r="54" spans="1:13" x14ac:dyDescent="0.3">
      <c r="B54" s="47" t="s">
        <v>82</v>
      </c>
      <c r="C54" s="50">
        <f>IFERROR('Data Sheet'!B61,0)</f>
        <v>55898.32</v>
      </c>
      <c r="D54" s="50">
        <f>IFERROR('Data Sheet'!C61,0)</f>
        <v>64240.88</v>
      </c>
      <c r="E54" s="50">
        <f>IFERROR('Data Sheet'!D61,0)</f>
        <v>71739.039999999994</v>
      </c>
      <c r="F54" s="50">
        <f>IFERROR('Data Sheet'!E61,0)</f>
        <v>77310.75</v>
      </c>
      <c r="G54" s="50">
        <f>IFERROR('Data Sheet'!F61,0)</f>
        <v>73760.759999999995</v>
      </c>
      <c r="H54" s="50">
        <f>IFERROR('Data Sheet'!G61,0)</f>
        <v>77196.02</v>
      </c>
      <c r="I54" s="50">
        <f>IFERROR('Data Sheet'!H61,0)</f>
        <v>85830.96</v>
      </c>
      <c r="J54" s="50">
        <f>IFERROR('Data Sheet'!I61,0)</f>
        <v>91753.97</v>
      </c>
      <c r="K54" s="50">
        <f>IFERROR('Data Sheet'!J61,0)</f>
        <v>88002.7</v>
      </c>
      <c r="L54" s="50">
        <f>IFERROR('Data Sheet'!K61,0)</f>
        <v>93637.2</v>
      </c>
      <c r="M54" s="14"/>
    </row>
    <row r="56" spans="1:13" x14ac:dyDescent="0.3">
      <c r="B56" t="s">
        <v>83</v>
      </c>
      <c r="C56" s="46">
        <f>IFERROR('Data Sheet'!B62,0)</f>
        <v>15893.48</v>
      </c>
      <c r="D56" s="46">
        <f>IFERROR('Data Sheet'!C62,0)</f>
        <v>16523.96</v>
      </c>
      <c r="E56" s="46">
        <f>IFERROR('Data Sheet'!D62,0)</f>
        <v>19374.189999999999</v>
      </c>
      <c r="F56" s="46">
        <f>IFERROR('Data Sheet'!E62,0)</f>
        <v>21713.34</v>
      </c>
      <c r="G56" s="46">
        <f>IFERROR('Data Sheet'!F62,0)</f>
        <v>23298.48</v>
      </c>
      <c r="H56" s="46">
        <f>IFERROR('Data Sheet'!G62,0)</f>
        <v>24231.59</v>
      </c>
      <c r="I56" s="46">
        <f>IFERROR('Data Sheet'!H62,0)</f>
        <v>25851.27</v>
      </c>
      <c r="J56" s="46">
        <f>IFERROR('Data Sheet'!I62,0)</f>
        <v>27820.22</v>
      </c>
      <c r="K56" s="46">
        <f>IFERROR('Data Sheet'!J62,0)</f>
        <v>21954.85</v>
      </c>
      <c r="L56" s="46">
        <f>IFERROR('Data Sheet'!K62,0)</f>
        <v>22442.53</v>
      </c>
    </row>
    <row r="57" spans="1:13" x14ac:dyDescent="0.3">
      <c r="B57" t="s">
        <v>39</v>
      </c>
      <c r="C57" s="46">
        <f>IFERROR('Data Sheet'!B63,0)</f>
        <v>3729.89</v>
      </c>
      <c r="D57" s="46">
        <f>IFERROR('Data Sheet'!C63,0)</f>
        <v>5508.33</v>
      </c>
      <c r="E57" s="46">
        <f>IFERROR('Data Sheet'!D63,0)</f>
        <v>4136.42</v>
      </c>
      <c r="F57" s="46">
        <f>IFERROR('Data Sheet'!E63,0)</f>
        <v>3256.46</v>
      </c>
      <c r="G57" s="46">
        <f>IFERROR('Data Sheet'!F63,0)</f>
        <v>4011.29</v>
      </c>
      <c r="H57" s="46">
        <f>IFERROR('Data Sheet'!G63,0)</f>
        <v>3225.54</v>
      </c>
      <c r="I57" s="46">
        <f>IFERROR('Data Sheet'!H63,0)</f>
        <v>3003.3</v>
      </c>
      <c r="J57" s="46">
        <f>IFERROR('Data Sheet'!I63,0)</f>
        <v>2860.78</v>
      </c>
      <c r="K57" s="46">
        <f>IFERROR('Data Sheet'!J63,0)</f>
        <v>1090.9100000000001</v>
      </c>
      <c r="L57" s="46">
        <f>IFERROR('Data Sheet'!K63,0)</f>
        <v>1601.88</v>
      </c>
    </row>
    <row r="58" spans="1:13" x14ac:dyDescent="0.3">
      <c r="B58" t="s">
        <v>40</v>
      </c>
      <c r="C58" s="46">
        <f>IFERROR('Data Sheet'!B64,0)</f>
        <v>17581.38</v>
      </c>
      <c r="D58" s="46">
        <f>IFERROR('Data Sheet'!C64,0)</f>
        <v>22052.86</v>
      </c>
      <c r="E58" s="46">
        <f>IFERROR('Data Sheet'!D64,0)</f>
        <v>25043.49</v>
      </c>
      <c r="F58" s="46">
        <f>IFERROR('Data Sheet'!E64,0)</f>
        <v>28663.35</v>
      </c>
      <c r="G58" s="46">
        <f>IFERROR('Data Sheet'!F64,0)</f>
        <v>24870.87</v>
      </c>
      <c r="H58" s="46">
        <f>IFERROR('Data Sheet'!G64,0)</f>
        <v>24841.01</v>
      </c>
      <c r="I58" s="46">
        <f>IFERROR('Data Sheet'!H64,0)</f>
        <v>29415.02</v>
      </c>
      <c r="J58" s="46">
        <f>IFERROR('Data Sheet'!I64,0)</f>
        <v>31114.02</v>
      </c>
      <c r="K58" s="46">
        <f>IFERROR('Data Sheet'!J64,0)</f>
        <v>34719.82</v>
      </c>
      <c r="L58" s="46">
        <f>IFERROR('Data Sheet'!K64,0)</f>
        <v>38128.43</v>
      </c>
    </row>
    <row r="59" spans="1:13" x14ac:dyDescent="0.3">
      <c r="B59" t="s">
        <v>41</v>
      </c>
      <c r="C59" s="46">
        <f>IFERROR('Data Sheet'!B65-SUM('Data Sheet'!B67:B69),0)</f>
        <v>5135.7800000000007</v>
      </c>
      <c r="D59" s="46">
        <f>IFERROR('Data Sheet'!C65-SUM('Data Sheet'!C67:C69),0)</f>
        <v>7078.7499999999982</v>
      </c>
      <c r="E59" s="46">
        <f>IFERROR('Data Sheet'!D65-SUM('Data Sheet'!D67:D69),0)</f>
        <v>7138.07</v>
      </c>
      <c r="F59" s="46">
        <f>IFERROR('Data Sheet'!E65-SUM('Data Sheet'!E67:E69),0)</f>
        <v>4958.4499999999971</v>
      </c>
      <c r="G59" s="46">
        <f>IFERROR('Data Sheet'!F65-SUM('Data Sheet'!F67:F69),0)</f>
        <v>4022.239999999998</v>
      </c>
      <c r="H59" s="46">
        <f>IFERROR('Data Sheet'!G65-SUM('Data Sheet'!G67:G69),0)</f>
        <v>6917.41</v>
      </c>
      <c r="I59" s="46">
        <f>IFERROR('Data Sheet'!H65-SUM('Data Sheet'!H67:H69),0)</f>
        <v>7953.8499999999985</v>
      </c>
      <c r="J59" s="46">
        <f>IFERROR('Data Sheet'!I65-SUM('Data Sheet'!I67:I69),0)</f>
        <v>4562.57</v>
      </c>
      <c r="K59" s="46">
        <f>IFERROR('Data Sheet'!J65-SUM('Data Sheet'!J67:J69),0)</f>
        <v>5867.5299999999988</v>
      </c>
      <c r="L59" s="46">
        <f>IFERROR('Data Sheet'!K65-SUM('Data Sheet'!K67:K69),0)</f>
        <v>5909.75</v>
      </c>
    </row>
    <row r="60" spans="1:13" x14ac:dyDescent="0.3">
      <c r="B60" s="47" t="s">
        <v>84</v>
      </c>
      <c r="C60" s="50">
        <f>SUM(C56:C59)</f>
        <v>42340.53</v>
      </c>
      <c r="D60" s="50">
        <f t="shared" ref="D60:L60" si="20">SUM(D56:D59)</f>
        <v>51163.9</v>
      </c>
      <c r="E60" s="50">
        <f t="shared" si="20"/>
        <v>55692.170000000006</v>
      </c>
      <c r="F60" s="50">
        <f t="shared" si="20"/>
        <v>58591.599999999991</v>
      </c>
      <c r="G60" s="50">
        <f t="shared" si="20"/>
        <v>56202.879999999997</v>
      </c>
      <c r="H60" s="50">
        <f t="shared" si="20"/>
        <v>59215.55</v>
      </c>
      <c r="I60" s="50">
        <f t="shared" si="20"/>
        <v>66223.44</v>
      </c>
      <c r="J60" s="50">
        <f t="shared" si="20"/>
        <v>66357.59</v>
      </c>
      <c r="K60" s="50">
        <f t="shared" si="20"/>
        <v>63633.11</v>
      </c>
      <c r="L60" s="50">
        <f t="shared" si="20"/>
        <v>68082.59</v>
      </c>
    </row>
    <row r="61" spans="1:13" x14ac:dyDescent="0.3">
      <c r="B61" s="14"/>
    </row>
    <row r="62" spans="1:13" x14ac:dyDescent="0.3">
      <c r="B62" t="s">
        <v>42</v>
      </c>
      <c r="C62" s="46">
        <f>IFERROR('Data Sheet'!B67,0)</f>
        <v>2474.29</v>
      </c>
      <c r="D62" s="46">
        <f>IFERROR('Data Sheet'!C67,0)</f>
        <v>2682.29</v>
      </c>
      <c r="E62" s="46">
        <f>IFERROR('Data Sheet'!D67,0)</f>
        <v>4035.28</v>
      </c>
      <c r="F62" s="46">
        <f>IFERROR('Data Sheet'!E67,0)</f>
        <v>2562.48</v>
      </c>
      <c r="G62" s="46">
        <f>IFERROR('Data Sheet'!F67,0)</f>
        <v>2501.6999999999998</v>
      </c>
      <c r="H62" s="46">
        <f>IFERROR('Data Sheet'!G67,0)</f>
        <v>2461.9</v>
      </c>
      <c r="I62" s="46">
        <f>IFERROR('Data Sheet'!H67,0)</f>
        <v>2956.17</v>
      </c>
      <c r="J62" s="46">
        <f>IFERROR('Data Sheet'!I67,0)</f>
        <v>4025.82</v>
      </c>
      <c r="K62" s="46">
        <f>IFERROR('Data Sheet'!J67,0)</f>
        <v>4719.67</v>
      </c>
      <c r="L62" s="46">
        <f>IFERROR('Data Sheet'!K67,0)</f>
        <v>3922.86</v>
      </c>
    </row>
    <row r="63" spans="1:13" x14ac:dyDescent="0.3">
      <c r="B63" t="s">
        <v>43</v>
      </c>
      <c r="C63" s="46">
        <f>IFERROR('Data Sheet'!B68,0)</f>
        <v>8116.1</v>
      </c>
      <c r="D63" s="46">
        <f>IFERROR('Data Sheet'!C68,0)</f>
        <v>7495.09</v>
      </c>
      <c r="E63" s="46">
        <f>IFERROR('Data Sheet'!D68,0)</f>
        <v>7859.56</v>
      </c>
      <c r="F63" s="46">
        <f>IFERROR('Data Sheet'!E68,0)</f>
        <v>8879.33</v>
      </c>
      <c r="G63" s="46">
        <f>IFERROR('Data Sheet'!F68,0)</f>
        <v>10397.16</v>
      </c>
      <c r="H63" s="46">
        <f>IFERROR('Data Sheet'!G68,0)</f>
        <v>10864.15</v>
      </c>
      <c r="I63" s="46">
        <f>IFERROR('Data Sheet'!H68,0)</f>
        <v>11771.16</v>
      </c>
      <c r="J63" s="46">
        <f>IFERROR('Data Sheet'!I68,0)</f>
        <v>14152.88</v>
      </c>
      <c r="K63" s="46">
        <f>IFERROR('Data Sheet'!J68,0)</f>
        <v>15637.56</v>
      </c>
      <c r="L63" s="46">
        <f>IFERROR('Data Sheet'!K68,0)</f>
        <v>18622.96</v>
      </c>
    </row>
    <row r="64" spans="1:13" x14ac:dyDescent="0.3">
      <c r="B64" t="s">
        <v>44</v>
      </c>
      <c r="C64" s="46">
        <f>IFERROR('Data Sheet'!B69,0)</f>
        <v>2967.4</v>
      </c>
      <c r="D64" s="46">
        <f>IFERROR('Data Sheet'!C69,0)</f>
        <v>2899.6</v>
      </c>
      <c r="E64" s="46">
        <f>IFERROR('Data Sheet'!D69,0)</f>
        <v>4152.03</v>
      </c>
      <c r="F64" s="46">
        <f>IFERROR('Data Sheet'!E69,0)</f>
        <v>7277.34</v>
      </c>
      <c r="G64" s="46">
        <f>IFERROR('Data Sheet'!F69,0)</f>
        <v>4659.0200000000004</v>
      </c>
      <c r="H64" s="46">
        <f>IFERROR('Data Sheet'!G69,0)</f>
        <v>4654.42</v>
      </c>
      <c r="I64" s="46">
        <f>IFERROR('Data Sheet'!H69,0)</f>
        <v>4880.1899999999996</v>
      </c>
      <c r="J64" s="46">
        <f>IFERROR('Data Sheet'!I69,0)</f>
        <v>7217.68</v>
      </c>
      <c r="K64" s="46">
        <f>IFERROR('Data Sheet'!J69,0)</f>
        <v>4012.36</v>
      </c>
      <c r="L64" s="46">
        <f>IFERROR('Data Sheet'!K69,0)</f>
        <v>3008.79</v>
      </c>
    </row>
    <row r="65" spans="1:13" x14ac:dyDescent="0.3">
      <c r="B65" s="47" t="s">
        <v>85</v>
      </c>
      <c r="C65" s="50">
        <f>IFERROR(SUM(C62:C64),0)</f>
        <v>13557.789999999999</v>
      </c>
      <c r="D65" s="50">
        <f t="shared" ref="D65:L65" si="21">IFERROR(SUM(D62:D64),0)</f>
        <v>13076.980000000001</v>
      </c>
      <c r="E65" s="50">
        <f t="shared" si="21"/>
        <v>16046.869999999999</v>
      </c>
      <c r="F65" s="50">
        <f t="shared" si="21"/>
        <v>18719.150000000001</v>
      </c>
      <c r="G65" s="50">
        <f t="shared" si="21"/>
        <v>17557.88</v>
      </c>
      <c r="H65" s="50">
        <f t="shared" si="21"/>
        <v>17980.47</v>
      </c>
      <c r="I65" s="50">
        <f t="shared" si="21"/>
        <v>19607.52</v>
      </c>
      <c r="J65" s="50">
        <f t="shared" si="21"/>
        <v>25396.38</v>
      </c>
      <c r="K65" s="50">
        <f t="shared" si="21"/>
        <v>24369.59</v>
      </c>
      <c r="L65" s="50">
        <f t="shared" si="21"/>
        <v>25554.61</v>
      </c>
    </row>
    <row r="67" spans="1:13" x14ac:dyDescent="0.3">
      <c r="B67" s="47" t="s">
        <v>86</v>
      </c>
      <c r="C67" s="50">
        <f>IFERROR(C65+C60,0)</f>
        <v>55898.32</v>
      </c>
      <c r="D67" s="50">
        <f t="shared" ref="D67:L67" si="22">IFERROR(D65+D60,0)</f>
        <v>64240.880000000005</v>
      </c>
      <c r="E67" s="50">
        <f t="shared" si="22"/>
        <v>71739.040000000008</v>
      </c>
      <c r="F67" s="50">
        <f t="shared" si="22"/>
        <v>77310.75</v>
      </c>
      <c r="G67" s="50">
        <f t="shared" si="22"/>
        <v>73760.759999999995</v>
      </c>
      <c r="H67" s="50">
        <f t="shared" si="22"/>
        <v>77196.02</v>
      </c>
      <c r="I67" s="50">
        <f t="shared" si="22"/>
        <v>85830.96</v>
      </c>
      <c r="J67" s="50">
        <f t="shared" si="22"/>
        <v>91753.97</v>
      </c>
      <c r="K67" s="50">
        <f t="shared" si="22"/>
        <v>88002.7</v>
      </c>
      <c r="L67" s="50">
        <f t="shared" si="22"/>
        <v>93637.2</v>
      </c>
    </row>
    <row r="69" spans="1:13" x14ac:dyDescent="0.3">
      <c r="B69" s="53" t="s">
        <v>87</v>
      </c>
      <c r="C69" s="54" t="b">
        <f>C67=C54</f>
        <v>1</v>
      </c>
      <c r="D69" s="54" t="b">
        <f t="shared" ref="D69:L69" si="23">D67=D54</f>
        <v>1</v>
      </c>
      <c r="E69" s="54" t="b">
        <f t="shared" si="23"/>
        <v>1</v>
      </c>
      <c r="F69" s="54" t="b">
        <f t="shared" si="23"/>
        <v>1</v>
      </c>
      <c r="G69" s="54" t="b">
        <f t="shared" si="23"/>
        <v>1</v>
      </c>
      <c r="H69" s="54" t="b">
        <f t="shared" si="23"/>
        <v>1</v>
      </c>
      <c r="I69" s="54" t="b">
        <f t="shared" si="23"/>
        <v>1</v>
      </c>
      <c r="J69" s="54" t="b">
        <f t="shared" si="23"/>
        <v>1</v>
      </c>
      <c r="K69" s="54" t="b">
        <f t="shared" si="23"/>
        <v>1</v>
      </c>
      <c r="L69" s="54" t="b">
        <f t="shared" si="23"/>
        <v>1</v>
      </c>
    </row>
    <row r="71" spans="1:13" x14ac:dyDescent="0.3">
      <c r="A71" t="s">
        <v>59</v>
      </c>
      <c r="B71" s="23" t="s">
        <v>88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</row>
    <row r="72" spans="1:13" x14ac:dyDescent="0.3">
      <c r="B72" s="14"/>
    </row>
    <row r="73" spans="1:13" x14ac:dyDescent="0.3">
      <c r="B73" t="s">
        <v>89</v>
      </c>
      <c r="C73" s="46">
        <f>'Data Sheet'!B82</f>
        <v>10627.31</v>
      </c>
      <c r="D73" s="46">
        <f>'Data Sheet'!C82</f>
        <v>13169.4</v>
      </c>
      <c r="E73" s="46">
        <f>'Data Sheet'!D82</f>
        <v>12583.41</v>
      </c>
      <c r="F73" s="46">
        <f>'Data Sheet'!E82</f>
        <v>14689.66</v>
      </c>
      <c r="G73" s="46">
        <f>'Data Sheet'!F82</f>
        <v>12526.97</v>
      </c>
      <c r="H73" s="46">
        <f>'Data Sheet'!G82</f>
        <v>15775.51</v>
      </c>
      <c r="I73" s="46">
        <f>'Data Sheet'!H82</f>
        <v>18877.55</v>
      </c>
      <c r="J73" s="46">
        <f>'Data Sheet'!I82</f>
        <v>17178.86</v>
      </c>
      <c r="K73" s="46">
        <f>'Data Sheet'!J82</f>
        <v>17627.04</v>
      </c>
      <c r="L73" s="46">
        <f>'Data Sheet'!K82</f>
        <v>18464.310000000001</v>
      </c>
    </row>
    <row r="75" spans="1:13" x14ac:dyDescent="0.3">
      <c r="B75" t="s">
        <v>90</v>
      </c>
      <c r="C75" s="46">
        <f>'Data Sheet'!B83</f>
        <v>-3250.93</v>
      </c>
      <c r="D75" s="46">
        <f>'Data Sheet'!C83</f>
        <v>-7113.89</v>
      </c>
      <c r="E75" s="46">
        <f>'Data Sheet'!D83</f>
        <v>-5545.68</v>
      </c>
      <c r="F75" s="46">
        <f>'Data Sheet'!E83</f>
        <v>-6174.02</v>
      </c>
      <c r="G75" s="46">
        <f>'Data Sheet'!F83</f>
        <v>5739.98</v>
      </c>
      <c r="H75" s="46">
        <f>'Data Sheet'!G83</f>
        <v>-2238.4899999999998</v>
      </c>
      <c r="I75" s="46">
        <f>'Data Sheet'!H83</f>
        <v>-5732.29</v>
      </c>
      <c r="J75" s="46">
        <f>'Data Sheet'!I83</f>
        <v>1562.77</v>
      </c>
      <c r="K75" s="46">
        <f>'Data Sheet'!J83</f>
        <v>-563.84</v>
      </c>
      <c r="L75" s="46">
        <f>'Data Sheet'!K83</f>
        <v>-2320.7399999999998</v>
      </c>
    </row>
    <row r="76" spans="1:13" x14ac:dyDescent="0.3">
      <c r="C76" s="51"/>
      <c r="D76" s="51"/>
      <c r="E76" s="51"/>
      <c r="F76" s="51"/>
      <c r="G76" s="51"/>
      <c r="H76" s="51"/>
      <c r="I76" s="51"/>
      <c r="J76" s="51"/>
      <c r="K76" s="51"/>
      <c r="L76" s="51"/>
    </row>
    <row r="77" spans="1:13" x14ac:dyDescent="0.3">
      <c r="B77" t="s">
        <v>91</v>
      </c>
      <c r="C77" s="46">
        <f>'Data Sheet'!B84</f>
        <v>-7301.03</v>
      </c>
      <c r="D77" s="46">
        <f>'Data Sheet'!C84</f>
        <v>-6221.13</v>
      </c>
      <c r="E77" s="46">
        <f>'Data Sheet'!D84</f>
        <v>-6868.64</v>
      </c>
      <c r="F77" s="46">
        <f>'Data Sheet'!E84</f>
        <v>-8181.48</v>
      </c>
      <c r="G77" s="46">
        <f>'Data Sheet'!F84</f>
        <v>-18633.830000000002</v>
      </c>
      <c r="H77" s="46">
        <f>'Data Sheet'!G84</f>
        <v>-13580.5</v>
      </c>
      <c r="I77" s="46">
        <f>'Data Sheet'!H84</f>
        <v>-13006.03</v>
      </c>
      <c r="J77" s="46">
        <f>'Data Sheet'!I84</f>
        <v>-18550.96</v>
      </c>
      <c r="K77" s="46">
        <f>'Data Sheet'!J84</f>
        <v>-17037.400000000001</v>
      </c>
      <c r="L77" s="46">
        <f>'Data Sheet'!K84</f>
        <v>-16147.12</v>
      </c>
    </row>
    <row r="79" spans="1:13" x14ac:dyDescent="0.3">
      <c r="B79" s="14" t="s">
        <v>52</v>
      </c>
      <c r="C79" s="25">
        <f t="shared" ref="C79:L79" si="24">IFERROR(C73+C75+C77,0)</f>
        <v>75.349999999999454</v>
      </c>
      <c r="D79" s="25">
        <f t="shared" si="24"/>
        <v>-165.6200000000008</v>
      </c>
      <c r="E79" s="25">
        <f t="shared" si="24"/>
        <v>169.08999999999924</v>
      </c>
      <c r="F79" s="25">
        <f t="shared" si="24"/>
        <v>334.15999999999985</v>
      </c>
      <c r="G79" s="25">
        <f t="shared" si="24"/>
        <v>-366.88000000000466</v>
      </c>
      <c r="H79" s="25">
        <f t="shared" si="24"/>
        <v>-43.479999999999563</v>
      </c>
      <c r="I79" s="25">
        <f t="shared" si="24"/>
        <v>139.22999999999774</v>
      </c>
      <c r="J79" s="25">
        <f t="shared" si="24"/>
        <v>190.67000000000189</v>
      </c>
      <c r="K79" s="25">
        <f t="shared" si="24"/>
        <v>25.799999999999272</v>
      </c>
      <c r="L79" s="25">
        <f t="shared" si="24"/>
        <v>-3.5499999999992724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6 M9 C15:L15 M21 M24 M3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9E03-A4D1-4083-BC79-5563763A6FED}">
  <dimension ref="A2:L38"/>
  <sheetViews>
    <sheetView showGridLines="0" topLeftCell="A49" workbookViewId="0">
      <selection activeCell="O7" sqref="O7"/>
    </sheetView>
  </sheetViews>
  <sheetFormatPr defaultRowHeight="14.4" x14ac:dyDescent="0.3"/>
  <cols>
    <col min="1" max="1" width="1.88671875" customWidth="1"/>
    <col min="2" max="2" width="18.21875" bestFit="1" customWidth="1"/>
    <col min="3" max="12" width="12" bestFit="1" customWidth="1"/>
  </cols>
  <sheetData>
    <row r="2" spans="1:12" x14ac:dyDescent="0.3">
      <c r="A2" t="s">
        <v>59</v>
      </c>
      <c r="B2" s="72" t="str">
        <f>"Common Size Income Statement - "&amp;'Data Sheet'!$B$1</f>
        <v>Common Size Income Statement - ITC LTD</v>
      </c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3">
      <c r="B3" s="68" t="s">
        <v>130</v>
      </c>
      <c r="C3" s="69">
        <f>'Data Sheet'!B16</f>
        <v>42825</v>
      </c>
      <c r="D3" s="69">
        <f>'Data Sheet'!C16</f>
        <v>43190</v>
      </c>
      <c r="E3" s="69">
        <f>'Data Sheet'!D16</f>
        <v>43555</v>
      </c>
      <c r="F3" s="69">
        <f>'Data Sheet'!E16</f>
        <v>43921</v>
      </c>
      <c r="G3" s="69">
        <f>'Data Sheet'!F16</f>
        <v>44286</v>
      </c>
      <c r="H3" s="69">
        <f>'Data Sheet'!G16</f>
        <v>44651</v>
      </c>
      <c r="I3" s="69">
        <f>'Data Sheet'!H16</f>
        <v>45016</v>
      </c>
      <c r="J3" s="69">
        <f>'Data Sheet'!I16</f>
        <v>45382</v>
      </c>
      <c r="K3" s="69">
        <f>'Data Sheet'!J16</f>
        <v>45747</v>
      </c>
      <c r="L3" s="69">
        <f>'Data Sheet'!K16</f>
        <v>46112</v>
      </c>
    </row>
    <row r="5" spans="1:12" x14ac:dyDescent="0.3">
      <c r="B5" s="63" t="str">
        <f>'Data Sheet'!A17</f>
        <v>Sales</v>
      </c>
      <c r="C5" s="64">
        <f>'Data Sheet'!B17/'Data Sheet'!B$17</f>
        <v>1</v>
      </c>
      <c r="D5" s="64">
        <f>'Data Sheet'!C17/'Data Sheet'!C$17</f>
        <v>1</v>
      </c>
      <c r="E5" s="64">
        <f>'Data Sheet'!D17/'Data Sheet'!D$17</f>
        <v>1</v>
      </c>
      <c r="F5" s="64">
        <f>'Data Sheet'!E17/'Data Sheet'!E$17</f>
        <v>1</v>
      </c>
      <c r="G5" s="64">
        <f>'Data Sheet'!F17/'Data Sheet'!F$17</f>
        <v>1</v>
      </c>
      <c r="H5" s="64">
        <f>'Data Sheet'!G17/'Data Sheet'!G$17</f>
        <v>1</v>
      </c>
      <c r="I5" s="64">
        <f>'Data Sheet'!H17/'Data Sheet'!H$17</f>
        <v>1</v>
      </c>
      <c r="J5" s="64">
        <f>'Data Sheet'!I17/'Data Sheet'!I$17</f>
        <v>1</v>
      </c>
      <c r="K5" s="64">
        <f>'Data Sheet'!J17/'Data Sheet'!J$17</f>
        <v>1</v>
      </c>
      <c r="L5" s="64">
        <f>'Data Sheet'!K17/'Data Sheet'!K$17</f>
        <v>1</v>
      </c>
    </row>
    <row r="6" spans="1:12" x14ac:dyDescent="0.3">
      <c r="B6" s="63" t="str">
        <f>'Data Sheet'!A18</f>
        <v>Raw Material Cost</v>
      </c>
      <c r="C6" s="64">
        <f>'Data Sheet'!B18/'Data Sheet'!B$17</f>
        <v>0.36140887026627638</v>
      </c>
      <c r="D6" s="64">
        <f>'Data Sheet'!C18/'Data Sheet'!C$17</f>
        <v>0.34126770411430057</v>
      </c>
      <c r="E6" s="64">
        <f>'Data Sheet'!D18/'Data Sheet'!D$17</f>
        <v>0.36457743323380137</v>
      </c>
      <c r="F6" s="64">
        <f>'Data Sheet'!E18/'Data Sheet'!E$17</f>
        <v>0.36544726723455434</v>
      </c>
      <c r="G6" s="64">
        <f>'Data Sheet'!F18/'Data Sheet'!F$17</f>
        <v>0.42179832695358777</v>
      </c>
      <c r="H6" s="64">
        <f>'Data Sheet'!G18/'Data Sheet'!G$17</f>
        <v>0.44638923800889574</v>
      </c>
      <c r="I6" s="64">
        <f>'Data Sheet'!H18/'Data Sheet'!H$17</f>
        <v>0.41405473255908887</v>
      </c>
      <c r="J6" s="64">
        <f>'Data Sheet'!I18/'Data Sheet'!I$17</f>
        <v>0.40258779596166394</v>
      </c>
      <c r="K6" s="64">
        <f>'Data Sheet'!J18/'Data Sheet'!J$17</f>
        <v>0.43418640224928956</v>
      </c>
      <c r="L6" s="64">
        <f>'Data Sheet'!K18/'Data Sheet'!K$17</f>
        <v>0.44502411612255349</v>
      </c>
    </row>
    <row r="7" spans="1:12" x14ac:dyDescent="0.3">
      <c r="B7" s="63" t="str">
        <f>'Data Sheet'!A19</f>
        <v>Change in Inventory</v>
      </c>
      <c r="C7" s="64">
        <f>'Data Sheet'!B19/'Data Sheet'!B$17</f>
        <v>-1.3855582263208599E-2</v>
      </c>
      <c r="D7" s="64">
        <f>'Data Sheet'!C19/'Data Sheet'!C$17</f>
        <v>-2.3654432075903346E-2</v>
      </c>
      <c r="E7" s="64">
        <f>'Data Sheet'!D19/'Data Sheet'!D$17</f>
        <v>4.2033877828479265E-3</v>
      </c>
      <c r="F7" s="64">
        <f>'Data Sheet'!E19/'Data Sheet'!E$17</f>
        <v>1.4236945636261661E-2</v>
      </c>
      <c r="G7" s="64">
        <f>'Data Sheet'!F19/'Data Sheet'!F$17</f>
        <v>1.3099947317613884E-2</v>
      </c>
      <c r="H7" s="64">
        <f>'Data Sheet'!G19/'Data Sheet'!G$17</f>
        <v>1.1311818013624969E-2</v>
      </c>
      <c r="I7" s="64">
        <f>'Data Sheet'!H19/'Data Sheet'!H$17</f>
        <v>5.0563297326542671E-3</v>
      </c>
      <c r="J7" s="64">
        <f>'Data Sheet'!I19/'Data Sheet'!I$17</f>
        <v>5.4138009307551057E-3</v>
      </c>
      <c r="K7" s="64">
        <f>'Data Sheet'!J19/'Data Sheet'!J$17</f>
        <v>9.6338000943665004E-3</v>
      </c>
      <c r="L7" s="64">
        <f>'Data Sheet'!K19/'Data Sheet'!K$17</f>
        <v>3.233817346364324E-2</v>
      </c>
    </row>
    <row r="8" spans="1:12" x14ac:dyDescent="0.3">
      <c r="B8" s="63" t="str">
        <f>'Data Sheet'!A20</f>
        <v>Power and Fuel</v>
      </c>
      <c r="C8" s="64">
        <f>'Data Sheet'!B20/'Data Sheet'!B$17</f>
        <v>1.366291304632479E-2</v>
      </c>
      <c r="D8" s="64">
        <f>'Data Sheet'!C20/'Data Sheet'!C$17</f>
        <v>1.5040643108899779E-2</v>
      </c>
      <c r="E8" s="64">
        <f>'Data Sheet'!D20/'Data Sheet'!D$17</f>
        <v>1.544758973909165E-2</v>
      </c>
      <c r="F8" s="64">
        <f>'Data Sheet'!E20/'Data Sheet'!E$17</f>
        <v>1.5810616813498098E-2</v>
      </c>
      <c r="G8" s="64">
        <f>'Data Sheet'!F20/'Data Sheet'!F$17</f>
        <v>1.4202115619058639E-2</v>
      </c>
      <c r="H8" s="64">
        <f>'Data Sheet'!G20/'Data Sheet'!G$17</f>
        <v>1.4671889670529284E-2</v>
      </c>
      <c r="I8" s="64">
        <f>'Data Sheet'!H20/'Data Sheet'!H$17</f>
        <v>1.7376718209484814E-2</v>
      </c>
      <c r="J8" s="64">
        <f>'Data Sheet'!I20/'Data Sheet'!I$17</f>
        <v>1.4027274946071023E-2</v>
      </c>
      <c r="K8" s="64">
        <f>'Data Sheet'!J20/'Data Sheet'!J$17</f>
        <v>1.2948841620671628E-2</v>
      </c>
      <c r="L8" s="64">
        <f>'Data Sheet'!K20/'Data Sheet'!K$17</f>
        <v>1.2016346217242901E-2</v>
      </c>
    </row>
    <row r="9" spans="1:12" x14ac:dyDescent="0.3">
      <c r="B9" s="63" t="str">
        <f>'Data Sheet'!A21</f>
        <v>Other Mfr. Exp</v>
      </c>
      <c r="C9" s="64">
        <f>'Data Sheet'!B21/'Data Sheet'!B$17</f>
        <v>3.9373263872651262E-2</v>
      </c>
      <c r="D9" s="64">
        <f>'Data Sheet'!C21/'Data Sheet'!C$17</f>
        <v>3.9071609111752781E-2</v>
      </c>
      <c r="E9" s="64">
        <f>'Data Sheet'!D21/'Data Sheet'!D$17</f>
        <v>3.8705549365550963E-2</v>
      </c>
      <c r="F9" s="64">
        <f>'Data Sheet'!E21/'Data Sheet'!E$17</f>
        <v>3.8638972861663935E-2</v>
      </c>
      <c r="G9" s="64">
        <f>'Data Sheet'!F21/'Data Sheet'!F$17</f>
        <v>3.2222130865483298E-2</v>
      </c>
      <c r="H9" s="64">
        <f>'Data Sheet'!G21/'Data Sheet'!G$17</f>
        <v>3.1126792288308232E-2</v>
      </c>
      <c r="I9" s="64">
        <f>'Data Sheet'!H21/'Data Sheet'!H$17</f>
        <v>3.2823347978673707E-2</v>
      </c>
      <c r="J9" s="64">
        <f>'Data Sheet'!I21/'Data Sheet'!I$17</f>
        <v>3.2146292303738125E-2</v>
      </c>
      <c r="K9" s="64">
        <f>'Data Sheet'!J21/'Data Sheet'!J$17</f>
        <v>3.1137227849959922E-2</v>
      </c>
      <c r="L9" s="64">
        <f>'Data Sheet'!K21/'Data Sheet'!K$17</f>
        <v>3.2744166231342339E-2</v>
      </c>
    </row>
    <row r="10" spans="1:12" x14ac:dyDescent="0.3">
      <c r="B10" s="63" t="str">
        <f>'Data Sheet'!A22</f>
        <v>Employee Cost</v>
      </c>
      <c r="C10" s="64">
        <f>'Data Sheet'!B22/'Data Sheet'!B$17</f>
        <v>8.4917788232213173E-2</v>
      </c>
      <c r="D10" s="64">
        <f>'Data Sheet'!C22/'Data Sheet'!C$17</f>
        <v>8.6559073708127279E-2</v>
      </c>
      <c r="E10" s="64">
        <f>'Data Sheet'!D22/'Data Sheet'!D$17</f>
        <v>8.6427726513138917E-2</v>
      </c>
      <c r="F10" s="64">
        <f>'Data Sheet'!E22/'Data Sheet'!E$17</f>
        <v>8.6980968945709156E-2</v>
      </c>
      <c r="G10" s="64">
        <f>'Data Sheet'!F22/'Data Sheet'!F$17</f>
        <v>9.0612283015056611E-2</v>
      </c>
      <c r="H10" s="64">
        <f>'Data Sheet'!G22/'Data Sheet'!G$17</f>
        <v>8.0642874032847811E-2</v>
      </c>
      <c r="I10" s="64">
        <f>'Data Sheet'!H22/'Data Sheet'!H$17</f>
        <v>8.0884073005510662E-2</v>
      </c>
      <c r="J10" s="64">
        <f>'Data Sheet'!I22/'Data Sheet'!I$17</f>
        <v>8.167777925965311E-2</v>
      </c>
      <c r="K10" s="64">
        <f>'Data Sheet'!J22/'Data Sheet'!J$17</f>
        <v>8.1910600353091084E-2</v>
      </c>
      <c r="L10" s="64">
        <f>'Data Sheet'!K22/'Data Sheet'!K$17</f>
        <v>8.5985007937272734E-2</v>
      </c>
    </row>
    <row r="11" spans="1:12" x14ac:dyDescent="0.3">
      <c r="B11" s="63" t="str">
        <f>'Data Sheet'!A23</f>
        <v>Selling and admin</v>
      </c>
      <c r="C11" s="64">
        <f>'Data Sheet'!B23/'Data Sheet'!B$17</f>
        <v>9.7731460264312231E-2</v>
      </c>
      <c r="D11" s="64">
        <f>'Data Sheet'!C23/'Data Sheet'!C$17</f>
        <v>9.1023394356686257E-2</v>
      </c>
      <c r="E11" s="64">
        <f>'Data Sheet'!D23/'Data Sheet'!D$17</f>
        <v>9.4051086087218794E-2</v>
      </c>
      <c r="F11" s="64">
        <f>'Data Sheet'!E23/'Data Sheet'!E$17</f>
        <v>9.088558487234677E-2</v>
      </c>
      <c r="G11" s="64">
        <f>'Data Sheet'!F23/'Data Sheet'!F$17</f>
        <v>8.6012775732401917E-2</v>
      </c>
      <c r="H11" s="64">
        <f>'Data Sheet'!G23/'Data Sheet'!G$17</f>
        <v>8.0112405832412942E-2</v>
      </c>
      <c r="I11" s="64">
        <f>'Data Sheet'!H23/'Data Sheet'!H$17</f>
        <v>7.9020821350771431E-2</v>
      </c>
      <c r="J11" s="64">
        <f>'Data Sheet'!I23/'Data Sheet'!I$17</f>
        <v>7.8202536244364573E-2</v>
      </c>
      <c r="K11" s="64">
        <f>'Data Sheet'!J23/'Data Sheet'!J$17</f>
        <v>7.691228243463448E-2</v>
      </c>
      <c r="L11" s="64">
        <f>'Data Sheet'!K23/'Data Sheet'!K$17</f>
        <v>8.0868256488023094E-2</v>
      </c>
    </row>
    <row r="12" spans="1:12" x14ac:dyDescent="0.3">
      <c r="B12" s="63" t="str">
        <f>'Data Sheet'!A24</f>
        <v>Other Expenses</v>
      </c>
      <c r="C12" s="64">
        <f>'Data Sheet'!B24/'Data Sheet'!B$17</f>
        <v>2.7339153938963141E-2</v>
      </c>
      <c r="D12" s="64">
        <f>'Data Sheet'!C24/'Data Sheet'!C$17</f>
        <v>2.3153154024010712E-2</v>
      </c>
      <c r="E12" s="64">
        <f>'Data Sheet'!D24/'Data Sheet'!D$17</f>
        <v>2.1511357773484997E-2</v>
      </c>
      <c r="F12" s="64">
        <f>'Data Sheet'!E24/'Data Sheet'!E$17</f>
        <v>2.4806378916207884E-2</v>
      </c>
      <c r="G12" s="64">
        <f>'Data Sheet'!F24/'Data Sheet'!F$17</f>
        <v>2.1811725941964111E-2</v>
      </c>
      <c r="H12" s="64">
        <f>'Data Sheet'!G24/'Data Sheet'!G$17</f>
        <v>1.8302554525106464E-2</v>
      </c>
      <c r="I12" s="64">
        <f>'Data Sheet'!H24/'Data Sheet'!H$17</f>
        <v>1.8451465001706874E-2</v>
      </c>
      <c r="J12" s="64">
        <f>'Data Sheet'!I24/'Data Sheet'!I$17</f>
        <v>2.5996166162779982E-2</v>
      </c>
      <c r="K12" s="64">
        <f>'Data Sheet'!J24/'Data Sheet'!J$17</f>
        <v>2.9595872939250971E-2</v>
      </c>
      <c r="L12" s="64">
        <f>'Data Sheet'!K24/'Data Sheet'!K$17</f>
        <v>2.9477965826617509E-2</v>
      </c>
    </row>
    <row r="13" spans="1:12" x14ac:dyDescent="0.3">
      <c r="B13" s="63" t="str">
        <f>'Data Sheet'!A25</f>
        <v>Other Income</v>
      </c>
      <c r="C13" s="64">
        <f>'Data Sheet'!B25/'Data Sheet'!B$17</f>
        <v>4.1120614670919112E-2</v>
      </c>
      <c r="D13" s="64">
        <f>'Data Sheet'!C25/'Data Sheet'!C$17</f>
        <v>5.1550394555080051E-2</v>
      </c>
      <c r="E13" s="64">
        <f>'Data Sheet'!D25/'Data Sheet'!D$17</f>
        <v>4.3038023913323203E-2</v>
      </c>
      <c r="F13" s="64">
        <f>'Data Sheet'!E25/'Data Sheet'!E$17</f>
        <v>4.8945790146129507E-2</v>
      </c>
      <c r="G13" s="64">
        <f>'Data Sheet'!F25/'Data Sheet'!F$17</f>
        <v>5.2315944085615476E-2</v>
      </c>
      <c r="H13" s="64">
        <f>'Data Sheet'!G25/'Data Sheet'!G$17</f>
        <v>3.1490386438746173E-2</v>
      </c>
      <c r="I13" s="64">
        <f>'Data Sheet'!H25/'Data Sheet'!H$17</f>
        <v>2.957795672050224E-2</v>
      </c>
      <c r="J13" s="64">
        <f>'Data Sheet'!I25/'Data Sheet'!I$17</f>
        <v>4.9026275416247496E-2</v>
      </c>
      <c r="K13" s="64">
        <f>'Data Sheet'!J25/'Data Sheet'!J$17</f>
        <v>0.23635104338177251</v>
      </c>
      <c r="L13" s="64">
        <f>'Data Sheet'!K25/'Data Sheet'!K$17</f>
        <v>3.1991139670641225E-2</v>
      </c>
    </row>
    <row r="14" spans="1:12" x14ac:dyDescent="0.3">
      <c r="B14" s="63" t="str">
        <f>'Data Sheet'!A26</f>
        <v>Depreciation</v>
      </c>
      <c r="C14" s="64">
        <f>'Data Sheet'!B26/'Data Sheet'!B$17</f>
        <v>2.6954750792656124E-2</v>
      </c>
      <c r="D14" s="64">
        <f>'Data Sheet'!C26/'Data Sheet'!C$17</f>
        <v>2.845362855802696E-2</v>
      </c>
      <c r="E14" s="64">
        <f>'Data Sheet'!D26/'Data Sheet'!D$17</f>
        <v>2.8891645314253867E-2</v>
      </c>
      <c r="F14" s="64">
        <f>'Data Sheet'!E26/'Data Sheet'!E$17</f>
        <v>3.3306066085280348E-2</v>
      </c>
      <c r="G14" s="64">
        <f>'Data Sheet'!F26/'Data Sheet'!F$17</f>
        <v>3.3407941336792708E-2</v>
      </c>
      <c r="H14" s="64">
        <f>'Data Sheet'!G26/'Data Sheet'!G$17</f>
        <v>2.8566627762367396E-2</v>
      </c>
      <c r="I14" s="64">
        <f>'Data Sheet'!H26/'Data Sheet'!H$17</f>
        <v>2.550810410125463E-2</v>
      </c>
      <c r="J14" s="64">
        <f>'Data Sheet'!I26/'Data Sheet'!I$17</f>
        <v>2.2346631054552542E-2</v>
      </c>
      <c r="K14" s="64">
        <f>'Data Sheet'!J26/'Data Sheet'!J$17</f>
        <v>2.1856704707996222E-2</v>
      </c>
      <c r="L14" s="64">
        <f>'Data Sheet'!K26/'Data Sheet'!K$17</f>
        <v>2.1688407524433108E-2</v>
      </c>
    </row>
    <row r="15" spans="1:12" x14ac:dyDescent="0.3">
      <c r="B15" s="63" t="str">
        <f>'Data Sheet'!A27</f>
        <v>Interest</v>
      </c>
      <c r="C15" s="64">
        <f>'Data Sheet'!B27/'Data Sheet'!B$17</f>
        <v>1.146428604831695E-3</v>
      </c>
      <c r="D15" s="64">
        <f>'Data Sheet'!C27/'Data Sheet'!C$17</f>
        <v>2.647015094039118E-3</v>
      </c>
      <c r="E15" s="64">
        <f>'Data Sheet'!D27/'Data Sheet'!D$17</f>
        <v>1.4770504832685763E-3</v>
      </c>
      <c r="F15" s="64">
        <f>'Data Sheet'!E27/'Data Sheet'!E$17</f>
        <v>1.647778697934911E-3</v>
      </c>
      <c r="G15" s="64">
        <f>'Data Sheet'!F27/'Data Sheet'!F$17</f>
        <v>1.1768778123918311E-3</v>
      </c>
      <c r="H15" s="64">
        <f>'Data Sheet'!G27/'Data Sheet'!G$17</f>
        <v>9.8920694262006107E-4</v>
      </c>
      <c r="I15" s="64">
        <f>'Data Sheet'!H27/'Data Sheet'!H$17</f>
        <v>1.0966027031108574E-3</v>
      </c>
      <c r="J15" s="64">
        <f>'Data Sheet'!I27/'Data Sheet'!I$17</f>
        <v>5.7572329010477244E-4</v>
      </c>
      <c r="K15" s="64">
        <f>'Data Sheet'!J27/'Data Sheet'!J$17</f>
        <v>5.9822094984104534E-4</v>
      </c>
      <c r="L15" s="64">
        <f>'Data Sheet'!K27/'Data Sheet'!K$17</f>
        <v>1.0799001881615451E-3</v>
      </c>
    </row>
    <row r="16" spans="1:12" x14ac:dyDescent="0.3">
      <c r="B16" s="63" t="str">
        <f>'Data Sheet'!A28</f>
        <v>Profit before tax</v>
      </c>
      <c r="C16" s="64">
        <f>'Data Sheet'!B28/'Data Sheet'!B$17</f>
        <v>0.37473040338948177</v>
      </c>
      <c r="D16" s="64">
        <f>'Data Sheet'!C28/'Data Sheet'!C$17</f>
        <v>0.40067974040333321</v>
      </c>
      <c r="E16" s="64">
        <f>'Data Sheet'!D28/'Data Sheet'!D$17</f>
        <v>0.39615197318636197</v>
      </c>
      <c r="F16" s="64">
        <f>'Data Sheet'!E28/'Data Sheet'!E$17</f>
        <v>0.40565910135519573</v>
      </c>
      <c r="G16" s="64">
        <f>'Data Sheet'!F28/'Data Sheet'!F$17</f>
        <v>0.36417171412649252</v>
      </c>
      <c r="H16" s="64">
        <f>'Data Sheet'!G28/'Data Sheet'!G$17</f>
        <v>0.34200061538928322</v>
      </c>
      <c r="I16" s="64">
        <f>'Data Sheet'!H28/'Data Sheet'!H$17</f>
        <v>0.36541842154355464</v>
      </c>
      <c r="J16" s="64">
        <f>'Data Sheet'!I28/'Data Sheet'!I$17</f>
        <v>0.39687987712407446</v>
      </c>
      <c r="K16" s="64">
        <f>'Data Sheet'!J28/'Data Sheet'!J$17</f>
        <v>0.5568386903714041</v>
      </c>
      <c r="L16" s="64">
        <f>'Data Sheet'!K28/'Data Sheet'!K$17</f>
        <v>0.35544514659863774</v>
      </c>
    </row>
    <row r="17" spans="1:12" x14ac:dyDescent="0.3">
      <c r="B17" s="63" t="str">
        <f>'Data Sheet'!A29</f>
        <v>Tax</v>
      </c>
      <c r="C17" s="64">
        <f>'Data Sheet'!B29/'Data Sheet'!B$17</f>
        <v>0.12974985736866226</v>
      </c>
      <c r="D17" s="64">
        <f>'Data Sheet'!C29/'Data Sheet'!C$17</f>
        <v>0.13616972013586523</v>
      </c>
      <c r="E17" s="64">
        <f>'Data Sheet'!D29/'Data Sheet'!D$17</f>
        <v>0.13061594660110823</v>
      </c>
      <c r="F17" s="64">
        <f>'Data Sheet'!E29/'Data Sheet'!E$17</f>
        <v>8.9937170591058102E-2</v>
      </c>
      <c r="G17" s="64">
        <f>'Data Sheet'!F29/'Data Sheet'!F$17</f>
        <v>9.2479208728831891E-2</v>
      </c>
      <c r="H17" s="64">
        <f>'Data Sheet'!G29/'Data Sheet'!G$17</f>
        <v>8.636127836075598E-2</v>
      </c>
      <c r="I17" s="64">
        <f>'Data Sheet'!H29/'Data Sheet'!H$17</f>
        <v>9.0785223655766301E-2</v>
      </c>
      <c r="J17" s="64">
        <f>'Data Sheet'!I29/'Data Sheet'!I$17</f>
        <v>9.1407075964560991E-2</v>
      </c>
      <c r="K17" s="64">
        <f>'Data Sheet'!J29/'Data Sheet'!J$17</f>
        <v>9.1478551004243847E-2</v>
      </c>
      <c r="L17" s="64">
        <f>'Data Sheet'!K29/'Data Sheet'!K$17</f>
        <v>8.8948679065379802E-2</v>
      </c>
    </row>
    <row r="18" spans="1:12" x14ac:dyDescent="0.3">
      <c r="B18" s="63" t="str">
        <f>'Data Sheet'!A30</f>
        <v>Net profit</v>
      </c>
      <c r="C18" s="64">
        <f>'Data Sheet'!B30/'Data Sheet'!B$17</f>
        <v>0.2405896052151629</v>
      </c>
      <c r="D18" s="64">
        <f>'Data Sheet'!C30/'Data Sheet'!C$17</f>
        <v>0.25941254263049918</v>
      </c>
      <c r="E18" s="64">
        <f>'Data Sheet'!D30/'Data Sheet'!D$17</f>
        <v>0.26049729848707825</v>
      </c>
      <c r="F18" s="64">
        <f>'Data Sheet'!E30/'Data Sheet'!E$17</f>
        <v>0.30991987883622846</v>
      </c>
      <c r="G18" s="64">
        <f>'Data Sheet'!F30/'Data Sheet'!F$17</f>
        <v>0.26719186640802561</v>
      </c>
      <c r="H18" s="64">
        <f>'Data Sheet'!G30/'Data Sheet'!G$17</f>
        <v>0.25134430898478244</v>
      </c>
      <c r="I18" s="64">
        <f>'Data Sheet'!H30/'Data Sheet'!H$17</f>
        <v>0.27061368436652333</v>
      </c>
      <c r="J18" s="64">
        <f>'Data Sheet'!I30/'Data Sheet'!I$17</f>
        <v>0.30116584334261615</v>
      </c>
      <c r="K18" s="64">
        <f>'Data Sheet'!J30/'Data Sheet'!J$17</f>
        <v>0.46129964497060272</v>
      </c>
      <c r="L18" s="64">
        <f>'Data Sheet'!K30/'Data Sheet'!K$17</f>
        <v>0.26232901897337846</v>
      </c>
    </row>
    <row r="19" spans="1:12" x14ac:dyDescent="0.3">
      <c r="B19" s="63" t="str">
        <f>'Data Sheet'!A31</f>
        <v>Dividend Amount</v>
      </c>
      <c r="C19" s="64">
        <f>'Data Sheet'!B31/'Data Sheet'!B$17</f>
        <v>0.13491568383542682</v>
      </c>
      <c r="D19" s="64">
        <f>'Data Sheet'!C31/'Data Sheet'!C$17</f>
        <v>0.14465738404665338</v>
      </c>
      <c r="E19" s="64">
        <f>'Data Sheet'!D31/'Data Sheet'!D$17</f>
        <v>0.14581632691057719</v>
      </c>
      <c r="F19" s="64">
        <f>'Data Sheet'!E31/'Data Sheet'!E$17</f>
        <v>0.25262524879676518</v>
      </c>
      <c r="G19" s="64">
        <f>'Data Sheet'!F31/'Data Sheet'!F$17</f>
        <v>0.26862860338892897</v>
      </c>
      <c r="H19" s="64">
        <f>'Data Sheet'!G31/'Data Sheet'!G$17</f>
        <v>0.23368633021208504</v>
      </c>
      <c r="I19" s="64">
        <f>'Data Sheet'!H31/'Data Sheet'!H$17</f>
        <v>0.27162526052598296</v>
      </c>
      <c r="J19" s="64">
        <f>'Data Sheet'!I31/'Data Sheet'!I$17</f>
        <v>0.2527008650128349</v>
      </c>
      <c r="K19" s="64">
        <f>'Data Sheet'!J31/'Data Sheet'!J$17</f>
        <v>0.23840857296025375</v>
      </c>
      <c r="L19" s="64">
        <f>'Data Sheet'!K31/'Data Sheet'!K$17</f>
        <v>0.23035563039189333</v>
      </c>
    </row>
    <row r="20" spans="1:12" x14ac:dyDescent="0.3">
      <c r="B20" s="63" t="str">
        <f>'Data Sheet'!A34</f>
        <v>EBITDA</v>
      </c>
      <c r="C20" s="64">
        <f>'Data Sheet'!B34/'Data Sheet'!B$17</f>
        <v>0.39844064198131302</v>
      </c>
      <c r="D20" s="64">
        <f>'Data Sheet'!C34/'Data Sheet'!C$17</f>
        <v>0.42668290641843037</v>
      </c>
      <c r="E20" s="64">
        <f>'Data Sheet'!D34/'Data Sheet'!D$17</f>
        <v>0.42148194088570901</v>
      </c>
      <c r="F20" s="64">
        <f>'Data Sheet'!E34/'Data Sheet'!E$17</f>
        <v>0.43481089421050184</v>
      </c>
      <c r="G20" s="64">
        <f>'Data Sheet'!F34/'Data Sheet'!F$17</f>
        <v>0.39425589428604207</v>
      </c>
      <c r="H20" s="64">
        <f>'Data Sheet'!G34/'Data Sheet'!G$17</f>
        <v>0.36726142205052592</v>
      </c>
      <c r="I20" s="64">
        <f>'Data Sheet'!H34/'Data Sheet'!H$17</f>
        <v>0.38800361482665507</v>
      </c>
      <c r="J20" s="64">
        <f>'Data Sheet'!I34/'Data Sheet'!I$17</f>
        <v>0.41549527365183442</v>
      </c>
      <c r="K20" s="64">
        <f>'Data Sheet'!J34/'Data Sheet'!J$17</f>
        <v>0.57523312163268381</v>
      </c>
      <c r="L20" s="64">
        <f>'Data Sheet'!K34/'Data Sheet'!K$17</f>
        <v>0.37404600575135288</v>
      </c>
    </row>
    <row r="21" spans="1:12" x14ac:dyDescent="0.3">
      <c r="B21" s="44"/>
    </row>
    <row r="22" spans="1:12" x14ac:dyDescent="0.3">
      <c r="A22" t="s">
        <v>59</v>
      </c>
      <c r="B22" s="72" t="str">
        <f>"Common Size Balance Sheet - "&amp;'Data Sheet'!$B$1</f>
        <v>Common Size Balance Sheet - ITC LTD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</row>
    <row r="23" spans="1:12" x14ac:dyDescent="0.3">
      <c r="B23" s="68" t="s">
        <v>130</v>
      </c>
      <c r="C23" s="69">
        <f>'Data Sheet'!B56</f>
        <v>42825</v>
      </c>
      <c r="D23" s="69">
        <f>'Data Sheet'!C56</f>
        <v>43190</v>
      </c>
      <c r="E23" s="69">
        <f>'Data Sheet'!D56</f>
        <v>43555</v>
      </c>
      <c r="F23" s="69">
        <f>'Data Sheet'!E56</f>
        <v>43921</v>
      </c>
      <c r="G23" s="69">
        <f>'Data Sheet'!F56</f>
        <v>44286</v>
      </c>
      <c r="H23" s="69">
        <f>'Data Sheet'!G56</f>
        <v>44651</v>
      </c>
      <c r="I23" s="69">
        <f>'Data Sheet'!H56</f>
        <v>45016</v>
      </c>
      <c r="J23" s="69">
        <f>'Data Sheet'!I56</f>
        <v>45382</v>
      </c>
      <c r="K23" s="69">
        <f>'Data Sheet'!J56</f>
        <v>45747</v>
      </c>
      <c r="L23" s="69">
        <f>'Data Sheet'!K56</f>
        <v>46112</v>
      </c>
    </row>
    <row r="25" spans="1:12" s="66" customFormat="1" x14ac:dyDescent="0.3">
      <c r="B25" s="65" t="s">
        <v>82</v>
      </c>
      <c r="C25" s="67">
        <f>'Data Sheet'!B61/'Data Sheet'!B$61</f>
        <v>1</v>
      </c>
      <c r="D25" s="67">
        <f>'Data Sheet'!C61/'Data Sheet'!C$61</f>
        <v>1</v>
      </c>
      <c r="E25" s="67">
        <f>'Data Sheet'!D61/'Data Sheet'!D$61</f>
        <v>1</v>
      </c>
      <c r="F25" s="67">
        <f>'Data Sheet'!E61/'Data Sheet'!E$61</f>
        <v>1</v>
      </c>
      <c r="G25" s="67">
        <f>'Data Sheet'!F61/'Data Sheet'!F$61</f>
        <v>1</v>
      </c>
      <c r="H25" s="67">
        <f>'Data Sheet'!G61/'Data Sheet'!G$61</f>
        <v>1</v>
      </c>
      <c r="I25" s="67">
        <f>'Data Sheet'!H61/'Data Sheet'!H$61</f>
        <v>1</v>
      </c>
      <c r="J25" s="67">
        <f>'Data Sheet'!I61/'Data Sheet'!I$61</f>
        <v>1</v>
      </c>
      <c r="K25" s="67">
        <f>'Data Sheet'!J61/'Data Sheet'!J$61</f>
        <v>1</v>
      </c>
      <c r="L25" s="67">
        <f>'Data Sheet'!K61/'Data Sheet'!K$61</f>
        <v>1</v>
      </c>
    </row>
    <row r="26" spans="1:12" x14ac:dyDescent="0.3">
      <c r="B26" s="63" t="str">
        <f>'Data Sheet'!A57</f>
        <v>Equity Share Capital</v>
      </c>
      <c r="C26" s="64">
        <f>'Data Sheet'!B57/'Data Sheet'!B$61</f>
        <v>2.1731243443452324E-2</v>
      </c>
      <c r="D26" s="64">
        <f>'Data Sheet'!C57/'Data Sheet'!C$61</f>
        <v>1.8997716096043518E-2</v>
      </c>
      <c r="E26" s="64">
        <f>'Data Sheet'!D57/'Data Sheet'!D$61</f>
        <v>1.7087766995488092E-2</v>
      </c>
      <c r="F26" s="64">
        <f>'Data Sheet'!E57/'Data Sheet'!E$61</f>
        <v>1.5899729339063456E-2</v>
      </c>
      <c r="G26" s="64">
        <f>'Data Sheet'!F57/'Data Sheet'!F$61</f>
        <v>1.6687463632424616E-2</v>
      </c>
      <c r="H26" s="64">
        <f>'Data Sheet'!G57/'Data Sheet'!G$61</f>
        <v>1.5963646830497218E-2</v>
      </c>
      <c r="I26" s="64">
        <f>'Data Sheet'!H57/'Data Sheet'!H$61</f>
        <v>1.447962366959428E-2</v>
      </c>
      <c r="J26" s="64">
        <f>'Data Sheet'!I57/'Data Sheet'!I$61</f>
        <v>1.3606713693151371E-2</v>
      </c>
      <c r="K26" s="64">
        <f>'Data Sheet'!J57/'Data Sheet'!J$61</f>
        <v>1.4220131882317249E-2</v>
      </c>
      <c r="L26" s="64">
        <f>'Data Sheet'!K57/'Data Sheet'!K$61</f>
        <v>1.3380899898758188E-2</v>
      </c>
    </row>
    <row r="27" spans="1:12" x14ac:dyDescent="0.3">
      <c r="B27" s="63" t="str">
        <f>'Data Sheet'!A58</f>
        <v>Reserves</v>
      </c>
      <c r="C27" s="64">
        <f>'Data Sheet'!B58/'Data Sheet'!B$61</f>
        <v>0.80857868358118823</v>
      </c>
      <c r="D27" s="64">
        <f>'Data Sheet'!C58/'Data Sheet'!C$61</f>
        <v>0.79839628597864787</v>
      </c>
      <c r="E27" s="64">
        <f>'Data Sheet'!D58/'Data Sheet'!D$61</f>
        <v>0.80730115708267081</v>
      </c>
      <c r="F27" s="64">
        <f>'Data Sheet'!E58/'Data Sheet'!E$61</f>
        <v>0.82839760317937672</v>
      </c>
      <c r="G27" s="64">
        <f>'Data Sheet'!F58/'Data Sheet'!F$61</f>
        <v>0.80146218666944324</v>
      </c>
      <c r="H27" s="64">
        <f>'Data Sheet'!G58/'Data Sheet'!G$61</f>
        <v>0.79308803744027212</v>
      </c>
      <c r="I27" s="64">
        <f>'Data Sheet'!H58/'Data Sheet'!H$61</f>
        <v>0.79123500424555426</v>
      </c>
      <c r="J27" s="64">
        <f>'Data Sheet'!I58/'Data Sheet'!I$61</f>
        <v>0.79842354505205604</v>
      </c>
      <c r="K27" s="64">
        <f>'Data Sheet'!J58/'Data Sheet'!J$61</f>
        <v>0.78155147512519507</v>
      </c>
      <c r="L27" s="64">
        <f>'Data Sheet'!K58/'Data Sheet'!K$61</f>
        <v>0.76096198946572524</v>
      </c>
    </row>
    <row r="28" spans="1:12" x14ac:dyDescent="0.3">
      <c r="B28" s="63" t="str">
        <f>'Data Sheet'!A59</f>
        <v>Borrowings</v>
      </c>
      <c r="C28" s="64">
        <f>'Data Sheet'!B59/'Data Sheet'!B$61</f>
        <v>8.1791366896178633E-4</v>
      </c>
      <c r="D28" s="64">
        <f>'Data Sheet'!C59/'Data Sheet'!C$61</f>
        <v>5.5914551606391452E-4</v>
      </c>
      <c r="E28" s="64">
        <f>'Data Sheet'!D59/'Data Sheet'!D$61</f>
        <v>1.8734569071456771E-4</v>
      </c>
      <c r="F28" s="64">
        <f>'Data Sheet'!E59/'Data Sheet'!E$61</f>
        <v>3.5887635290046986E-3</v>
      </c>
      <c r="G28" s="64">
        <f>'Data Sheet'!F59/'Data Sheet'!F$61</f>
        <v>3.6717354864564847E-3</v>
      </c>
      <c r="H28" s="64">
        <f>'Data Sheet'!G59/'Data Sheet'!G$61</f>
        <v>3.2312546683106198E-3</v>
      </c>
      <c r="I28" s="64">
        <f>'Data Sheet'!H59/'Data Sheet'!H$61</f>
        <v>3.5656131540413856E-3</v>
      </c>
      <c r="J28" s="64">
        <f>'Data Sheet'!I59/'Data Sheet'!I$61</f>
        <v>3.3069958716772691E-3</v>
      </c>
      <c r="K28" s="64">
        <f>'Data Sheet'!J59/'Data Sheet'!J$61</f>
        <v>3.2333098870830101E-3</v>
      </c>
      <c r="L28" s="64">
        <f>'Data Sheet'!K59/'Data Sheet'!K$61</f>
        <v>2.5620800280230508E-2</v>
      </c>
    </row>
    <row r="29" spans="1:12" x14ac:dyDescent="0.3">
      <c r="B29" s="63" t="str">
        <f>'Data Sheet'!A60</f>
        <v>Other Liabilities</v>
      </c>
      <c r="C29" s="64">
        <f>'Data Sheet'!B60/'Data Sheet'!B$61</f>
        <v>0.16887215930639776</v>
      </c>
      <c r="D29" s="64">
        <f>'Data Sheet'!C60/'Data Sheet'!C$61</f>
        <v>0.18204685240924473</v>
      </c>
      <c r="E29" s="64">
        <f>'Data Sheet'!D60/'Data Sheet'!D$61</f>
        <v>0.17542373023112662</v>
      </c>
      <c r="F29" s="64">
        <f>'Data Sheet'!E60/'Data Sheet'!E$61</f>
        <v>0.15211390395255511</v>
      </c>
      <c r="G29" s="64">
        <f>'Data Sheet'!F60/'Data Sheet'!F$61</f>
        <v>0.17817861421167572</v>
      </c>
      <c r="H29" s="64">
        <f>'Data Sheet'!G60/'Data Sheet'!G$61</f>
        <v>0.18771706106091998</v>
      </c>
      <c r="I29" s="64">
        <f>'Data Sheet'!H60/'Data Sheet'!H$61</f>
        <v>0.19071975893081003</v>
      </c>
      <c r="J29" s="64">
        <f>'Data Sheet'!I60/'Data Sheet'!I$61</f>
        <v>0.18466274538311531</v>
      </c>
      <c r="K29" s="64">
        <f>'Data Sheet'!J60/'Data Sheet'!J$61</f>
        <v>0.20099508310540473</v>
      </c>
      <c r="L29" s="64">
        <f>'Data Sheet'!K60/'Data Sheet'!K$61</f>
        <v>0.20003631035528616</v>
      </c>
    </row>
    <row r="30" spans="1:12" x14ac:dyDescent="0.3">
      <c r="B30" s="44"/>
    </row>
    <row r="31" spans="1:12" x14ac:dyDescent="0.3">
      <c r="B31" s="45" t="s">
        <v>86</v>
      </c>
      <c r="C31" s="70">
        <f>'Data Sheet'!B76/'Data Sheet'!B$76</f>
        <v>1</v>
      </c>
      <c r="D31" s="70">
        <f>'Data Sheet'!C76/'Data Sheet'!C$76</f>
        <v>1</v>
      </c>
      <c r="E31" s="70">
        <f>'Data Sheet'!D76/'Data Sheet'!D$76</f>
        <v>1</v>
      </c>
      <c r="F31" s="70">
        <f>'Data Sheet'!E76/'Data Sheet'!E$76</f>
        <v>1</v>
      </c>
      <c r="G31" s="70">
        <f>'Data Sheet'!F76/'Data Sheet'!F$76</f>
        <v>1</v>
      </c>
      <c r="H31" s="70">
        <f>'Data Sheet'!G76/'Data Sheet'!G$76</f>
        <v>1</v>
      </c>
      <c r="I31" s="70">
        <f>'Data Sheet'!H76/'Data Sheet'!H$76</f>
        <v>1</v>
      </c>
      <c r="J31" s="70">
        <f>'Data Sheet'!I76/'Data Sheet'!I$76</f>
        <v>1</v>
      </c>
      <c r="K31" s="70">
        <f>'Data Sheet'!J76/'Data Sheet'!J$76</f>
        <v>1</v>
      </c>
      <c r="L31" s="70">
        <f>'Data Sheet'!K76/'Data Sheet'!K$76</f>
        <v>1</v>
      </c>
    </row>
    <row r="32" spans="1:12" x14ac:dyDescent="0.3">
      <c r="B32" s="63" t="str">
        <f>'Data Sheet'!A62</f>
        <v>Net Block</v>
      </c>
      <c r="C32" s="64">
        <f>'Data Sheet'!B62/'Data Sheet'!B$76</f>
        <v>0.2843284019984858</v>
      </c>
      <c r="D32" s="64">
        <f>'Data Sheet'!C62/'Data Sheet'!C$76</f>
        <v>0.25721876786245768</v>
      </c>
      <c r="E32" s="64">
        <f>'Data Sheet'!D62/'Data Sheet'!D$76</f>
        <v>0.27006480711199926</v>
      </c>
      <c r="F32" s="64">
        <f>'Data Sheet'!E62/'Data Sheet'!E$76</f>
        <v>0.28085796606552127</v>
      </c>
      <c r="G32" s="64">
        <f>'Data Sheet'!F62/'Data Sheet'!F$76</f>
        <v>0.31586550897794441</v>
      </c>
      <c r="H32" s="64">
        <f>'Data Sheet'!G62/'Data Sheet'!G$76</f>
        <v>0.31389688224859258</v>
      </c>
      <c r="I32" s="64">
        <f>'Data Sheet'!H62/'Data Sheet'!H$76</f>
        <v>0.30118817265937603</v>
      </c>
      <c r="J32" s="64">
        <f>'Data Sheet'!I62/'Data Sheet'!I$76</f>
        <v>0.30320453708978479</v>
      </c>
      <c r="K32" s="64">
        <f>'Data Sheet'!J62/'Data Sheet'!J$76</f>
        <v>0.24947927734035433</v>
      </c>
      <c r="L32" s="64">
        <f>'Data Sheet'!K62/'Data Sheet'!K$76</f>
        <v>0.23967536406470932</v>
      </c>
    </row>
    <row r="33" spans="2:12" x14ac:dyDescent="0.3">
      <c r="B33" s="63" t="str">
        <f>'Data Sheet'!A63</f>
        <v>Capital Work in Progress</v>
      </c>
      <c r="C33" s="64">
        <f>'Data Sheet'!B63/'Data Sheet'!B$76</f>
        <v>6.6726334530268522E-2</v>
      </c>
      <c r="D33" s="64">
        <f>'Data Sheet'!C63/'Data Sheet'!C$76</f>
        <v>8.5744933755577443E-2</v>
      </c>
      <c r="E33" s="64">
        <f>'Data Sheet'!D63/'Data Sheet'!D$76</f>
        <v>5.7659260564401203E-2</v>
      </c>
      <c r="F33" s="64">
        <f>'Data Sheet'!E63/'Data Sheet'!E$76</f>
        <v>4.2121697176653962E-2</v>
      </c>
      <c r="G33" s="64">
        <f>'Data Sheet'!F63/'Data Sheet'!F$76</f>
        <v>5.4382438575741363E-2</v>
      </c>
      <c r="H33" s="64">
        <f>'Data Sheet'!G63/'Data Sheet'!G$76</f>
        <v>4.1783760354484591E-2</v>
      </c>
      <c r="I33" s="64">
        <f>'Data Sheet'!H63/'Data Sheet'!H$76</f>
        <v>3.4990870427174532E-2</v>
      </c>
      <c r="J33" s="64">
        <f>'Data Sheet'!I63/'Data Sheet'!I$76</f>
        <v>3.1178814388085879E-2</v>
      </c>
      <c r="K33" s="64">
        <f>'Data Sheet'!J63/'Data Sheet'!J$76</f>
        <v>1.2396324203689206E-2</v>
      </c>
      <c r="L33" s="64">
        <f>'Data Sheet'!K63/'Data Sheet'!K$76</f>
        <v>1.7107303507580322E-2</v>
      </c>
    </row>
    <row r="34" spans="2:12" x14ac:dyDescent="0.3">
      <c r="B34" s="63" t="str">
        <f>'Data Sheet'!A64</f>
        <v>Investments</v>
      </c>
      <c r="C34" s="64">
        <f>'Data Sheet'!B64/'Data Sheet'!B$76</f>
        <v>0.31452430055142983</v>
      </c>
      <c r="D34" s="64">
        <f>'Data Sheet'!C64/'Data Sheet'!C$76</f>
        <v>0.34328390271117087</v>
      </c>
      <c r="E34" s="64">
        <f>'Data Sheet'!D64/'Data Sheet'!D$76</f>
        <v>0.34909151279414952</v>
      </c>
      <c r="F34" s="64">
        <f>'Data Sheet'!E64/'Data Sheet'!E$76</f>
        <v>0.37075503730076348</v>
      </c>
      <c r="G34" s="64">
        <f>'Data Sheet'!F64/'Data Sheet'!F$76</f>
        <v>0.33718294117359965</v>
      </c>
      <c r="H34" s="64">
        <f>'Data Sheet'!G64/'Data Sheet'!G$76</f>
        <v>0.3217913306929554</v>
      </c>
      <c r="I34" s="64">
        <f>'Data Sheet'!H64/'Data Sheet'!H$76</f>
        <v>0.34270873819889697</v>
      </c>
      <c r="J34" s="64">
        <f>'Data Sheet'!I64/'Data Sheet'!I$76</f>
        <v>0.33910271130502584</v>
      </c>
      <c r="K34" s="64">
        <f>'Data Sheet'!J64/'Data Sheet'!J$76</f>
        <v>0.39453130415316806</v>
      </c>
      <c r="L34" s="64">
        <f>'Data Sheet'!K64/'Data Sheet'!K$76</f>
        <v>0.40719318817734834</v>
      </c>
    </row>
    <row r="35" spans="2:12" x14ac:dyDescent="0.3">
      <c r="B35" s="63" t="str">
        <f>'Data Sheet'!A65</f>
        <v>Other Assets</v>
      </c>
      <c r="C35" s="64">
        <f>'Data Sheet'!B65/'Data Sheet'!B$76</f>
        <v>0.33442096291981582</v>
      </c>
      <c r="D35" s="64">
        <f>'Data Sheet'!C65/'Data Sheet'!C$76</f>
        <v>0.31375239567079405</v>
      </c>
      <c r="E35" s="64">
        <f>'Data Sheet'!D65/'Data Sheet'!D$76</f>
        <v>0.3231844195294501</v>
      </c>
      <c r="F35" s="64">
        <f>'Data Sheet'!E65/'Data Sheet'!E$76</f>
        <v>0.30626529945706127</v>
      </c>
      <c r="G35" s="64">
        <f>'Data Sheet'!F65/'Data Sheet'!F$76</f>
        <v>0.29256911127271468</v>
      </c>
      <c r="H35" s="64">
        <f>'Data Sheet'!G65/'Data Sheet'!G$76</f>
        <v>0.32252802670396735</v>
      </c>
      <c r="I35" s="64">
        <f>'Data Sheet'!H65/'Data Sheet'!H$76</f>
        <v>0.32111221871455237</v>
      </c>
      <c r="J35" s="64">
        <f>'Data Sheet'!I65/'Data Sheet'!I$76</f>
        <v>0.32651393721710353</v>
      </c>
      <c r="K35" s="64">
        <f>'Data Sheet'!J65/'Data Sheet'!J$76</f>
        <v>0.34359309430278845</v>
      </c>
      <c r="L35" s="64">
        <f>'Data Sheet'!K65/'Data Sheet'!K$76</f>
        <v>0.33602414425036203</v>
      </c>
    </row>
    <row r="36" spans="2:12" x14ac:dyDescent="0.3">
      <c r="B36" s="63" t="str">
        <f>'Data Sheet'!A67</f>
        <v>Receivables</v>
      </c>
      <c r="C36" s="64">
        <f>'Data Sheet'!B67/'Data Sheet'!B$76</f>
        <v>4.4264120996838546E-2</v>
      </c>
      <c r="D36" s="64">
        <f>'Data Sheet'!C67/'Data Sheet'!C$76</f>
        <v>4.1753631021243798E-2</v>
      </c>
      <c r="E36" s="64">
        <f>'Data Sheet'!D67/'Data Sheet'!D$76</f>
        <v>5.6249428484128033E-2</v>
      </c>
      <c r="F36" s="64">
        <f>'Data Sheet'!E67/'Data Sheet'!E$76</f>
        <v>3.3145196495959491E-2</v>
      </c>
      <c r="G36" s="64">
        <f>'Data Sheet'!F67/'Data Sheet'!F$76</f>
        <v>3.3916407585822053E-2</v>
      </c>
      <c r="H36" s="64">
        <f>'Data Sheet'!G67/'Data Sheet'!G$76</f>
        <v>3.1891540522425897E-2</v>
      </c>
      <c r="I36" s="64">
        <f>'Data Sheet'!H67/'Data Sheet'!H$76</f>
        <v>3.4441767865581369E-2</v>
      </c>
      <c r="J36" s="64">
        <f>'Data Sheet'!I67/'Data Sheet'!I$76</f>
        <v>4.3876248624446439E-2</v>
      </c>
      <c r="K36" s="64">
        <f>'Data Sheet'!J67/'Data Sheet'!J$76</f>
        <v>5.3630968140750232E-2</v>
      </c>
      <c r="L36" s="64">
        <f>'Data Sheet'!K67/'Data Sheet'!K$76</f>
        <v>4.1894247158180728E-2</v>
      </c>
    </row>
    <row r="37" spans="2:12" x14ac:dyDescent="0.3">
      <c r="B37" s="63" t="str">
        <f>'Data Sheet'!A68</f>
        <v>Inventory</v>
      </c>
      <c r="C37" s="64">
        <f>'Data Sheet'!B68/'Data Sheet'!B$76</f>
        <v>0.14519398794096139</v>
      </c>
      <c r="D37" s="64">
        <f>'Data Sheet'!C68/'Data Sheet'!C$76</f>
        <v>0.11667165829608811</v>
      </c>
      <c r="E37" s="64">
        <f>'Data Sheet'!D68/'Data Sheet'!D$76</f>
        <v>0.10955764113932945</v>
      </c>
      <c r="F37" s="64">
        <f>'Data Sheet'!E68/'Data Sheet'!E$76</f>
        <v>0.11485246230310792</v>
      </c>
      <c r="G37" s="64">
        <f>'Data Sheet'!F68/'Data Sheet'!F$76</f>
        <v>0.14095787516289149</v>
      </c>
      <c r="H37" s="64">
        <f>'Data Sheet'!G68/'Data Sheet'!G$76</f>
        <v>0.14073458709399783</v>
      </c>
      <c r="I37" s="64">
        <f>'Data Sheet'!H68/'Data Sheet'!H$76</f>
        <v>0.13714352024024895</v>
      </c>
      <c r="J37" s="64">
        <f>'Data Sheet'!I68/'Data Sheet'!I$76</f>
        <v>0.1542481486087196</v>
      </c>
      <c r="K37" s="64">
        <f>'Data Sheet'!J68/'Data Sheet'!J$76</f>
        <v>0.17769409347667742</v>
      </c>
      <c r="L37" s="64">
        <f>'Data Sheet'!K68/'Data Sheet'!K$76</f>
        <v>0.19888420414108923</v>
      </c>
    </row>
    <row r="38" spans="2:12" x14ac:dyDescent="0.3">
      <c r="B38" s="63" t="str">
        <f>'Data Sheet'!A69</f>
        <v>Cash &amp; Bank</v>
      </c>
      <c r="C38" s="64">
        <f>'Data Sheet'!B69/'Data Sheet'!B$76</f>
        <v>5.3085674131172461E-2</v>
      </c>
      <c r="D38" s="64">
        <f>'Data Sheet'!C69/'Data Sheet'!C$76</f>
        <v>4.5136367994958973E-2</v>
      </c>
      <c r="E38" s="64">
        <f>'Data Sheet'!D69/'Data Sheet'!D$76</f>
        <v>5.7876854778095725E-2</v>
      </c>
      <c r="F38" s="64">
        <f>'Data Sheet'!E69/'Data Sheet'!E$76</f>
        <v>9.4131023175949013E-2</v>
      </c>
      <c r="G38" s="64">
        <f>'Data Sheet'!F69/'Data Sheet'!F$76</f>
        <v>6.3163937031017581E-2</v>
      </c>
      <c r="H38" s="64">
        <f>'Data Sheet'!G69/'Data Sheet'!G$76</f>
        <v>6.0293522904419167E-2</v>
      </c>
      <c r="I38" s="64">
        <f>'Data Sheet'!H69/'Data Sheet'!H$76</f>
        <v>5.6858154679849782E-2</v>
      </c>
      <c r="J38" s="64">
        <f>'Data Sheet'!I69/'Data Sheet'!I$76</f>
        <v>7.8663408242716906E-2</v>
      </c>
      <c r="K38" s="64">
        <f>'Data Sheet'!J69/'Data Sheet'!J$76</f>
        <v>4.5593601105420635E-2</v>
      </c>
      <c r="L38" s="64">
        <f>'Data Sheet'!K69/'Data Sheet'!K$76</f>
        <v>3.2132421729825326E-2</v>
      </c>
    </row>
  </sheetData>
  <mergeCells count="2">
    <mergeCell ref="B2:L2"/>
    <mergeCell ref="B22:L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261D-83CE-4C5B-8D6F-24F11CFFFE30}">
  <dimension ref="B2:O40"/>
  <sheetViews>
    <sheetView showGridLines="0" zoomScale="145" zoomScaleNormal="145" workbookViewId="0">
      <pane ySplit="3" topLeftCell="A20" activePane="bottomLeft" state="frozen"/>
      <selection activeCell="B1" sqref="B1"/>
      <selection pane="bottomLeft" activeCell="D43" sqref="D43"/>
    </sheetView>
  </sheetViews>
  <sheetFormatPr defaultRowHeight="14.4" x14ac:dyDescent="0.3"/>
  <cols>
    <col min="1" max="1" width="1.88671875" customWidth="1"/>
    <col min="2" max="2" width="24.33203125" bestFit="1" customWidth="1"/>
    <col min="3" max="5" width="10.33203125" bestFit="1" customWidth="1"/>
    <col min="6" max="11" width="9.33203125" bestFit="1" customWidth="1"/>
    <col min="12" max="12" width="8.33203125" bestFit="1" customWidth="1"/>
    <col min="13" max="13" width="5.88671875" bestFit="1" customWidth="1"/>
    <col min="14" max="14" width="10.33203125" bestFit="1" customWidth="1"/>
    <col min="15" max="15" width="9.33203125" bestFit="1" customWidth="1"/>
  </cols>
  <sheetData>
    <row r="2" spans="2:15" x14ac:dyDescent="0.3">
      <c r="B2" s="73" t="str">
        <f>"Ratio Analysis of - "&amp;'Data Sheet'!B1</f>
        <v>Ratio Analysis of - ITC LTD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2:15" x14ac:dyDescent="0.3">
      <c r="B3" s="11" t="s">
        <v>56</v>
      </c>
      <c r="C3" s="12">
        <f>'Data Sheet'!B16</f>
        <v>42825</v>
      </c>
      <c r="D3" s="12">
        <f>'Data Sheet'!C16</f>
        <v>43190</v>
      </c>
      <c r="E3" s="12">
        <f>'Data Sheet'!D16</f>
        <v>43555</v>
      </c>
      <c r="F3" s="12">
        <f>'Data Sheet'!E16</f>
        <v>43921</v>
      </c>
      <c r="G3" s="12">
        <f>'Data Sheet'!F16</f>
        <v>44286</v>
      </c>
      <c r="H3" s="12">
        <f>'Data Sheet'!G16</f>
        <v>44651</v>
      </c>
      <c r="I3" s="12">
        <f>'Data Sheet'!H16</f>
        <v>45016</v>
      </c>
      <c r="J3" s="12">
        <f>'Data Sheet'!I16</f>
        <v>45382</v>
      </c>
      <c r="K3" s="12">
        <f>'Data Sheet'!J16</f>
        <v>45747</v>
      </c>
      <c r="L3" s="12">
        <f>'Data Sheet'!K16</f>
        <v>46112</v>
      </c>
      <c r="M3" s="26" t="s">
        <v>121</v>
      </c>
      <c r="N3" s="13" t="s">
        <v>122</v>
      </c>
      <c r="O3" s="13" t="s">
        <v>123</v>
      </c>
    </row>
    <row r="4" spans="2:15" ht="15" thickBot="1" x14ac:dyDescent="0.35"/>
    <row r="5" spans="2:15" x14ac:dyDescent="0.3">
      <c r="B5" s="28" t="s">
        <v>96</v>
      </c>
      <c r="C5" s="29"/>
      <c r="D5" s="55">
        <f>IFERROR('Historical FS'!D7,0)</f>
        <v>1.5931218960147486E-2</v>
      </c>
      <c r="E5" s="55">
        <f>IFERROR('Historical FS'!E7,0)</f>
        <v>0.11256062863673999</v>
      </c>
      <c r="F5" s="55">
        <f>IFERROR('Historical FS'!F7,0)</f>
        <v>2.1682439110972673E-2</v>
      </c>
      <c r="G5" s="55">
        <f>IFERROR('Historical FS'!G7,0)</f>
        <v>-2.6372963308678443E-3</v>
      </c>
      <c r="H5" s="55">
        <f>IFERROR('Historical FS'!H7,0)</f>
        <v>0.23117497962237188</v>
      </c>
      <c r="I5" s="55">
        <f>IFERROR('Historical FS'!I7,0)</f>
        <v>0.1694215175842706</v>
      </c>
      <c r="J5" s="55">
        <f>IFERROR('Historical FS'!J7,0)</f>
        <v>-4.2119724423754779E-2</v>
      </c>
      <c r="K5" s="55">
        <f>IFERROR('Historical FS'!K7,0)</f>
        <v>0.10880596078957838</v>
      </c>
      <c r="L5" s="55">
        <f>IFERROR('Historical FS'!L7,0)</f>
        <v>4.7064561927285808E-2</v>
      </c>
      <c r="M5" s="28"/>
      <c r="N5" s="29">
        <f>IFERROR(AVERAGE(D5:L5),0)</f>
        <v>7.3542698430749356E-2</v>
      </c>
      <c r="O5" s="29">
        <f>IFERROR(MEDIAN(C5:M5),0)</f>
        <v>4.7064561927285808E-2</v>
      </c>
    </row>
    <row r="6" spans="2:15" x14ac:dyDescent="0.3">
      <c r="B6" t="s">
        <v>102</v>
      </c>
      <c r="C6" s="30"/>
      <c r="D6" s="56">
        <f>IFERROR('Historical FS'!D18/'Historical FS'!C18-1,0)</f>
        <v>6.7945267820377131E-2</v>
      </c>
      <c r="E6" s="56">
        <f>IFERROR('Historical FS'!E18/'Historical FS'!D18-1,0)</f>
        <v>0.12207796452790087</v>
      </c>
      <c r="F6" s="56">
        <f>IFERROR('Historical FS'!F18/'Historical FS'!E18-1,0)</f>
        <v>4.34877833395102E-2</v>
      </c>
      <c r="G6" s="56">
        <f>IFERROR('Historical FS'!G18/'Historical FS'!F18-1,0)</f>
        <v>-0.11780470379258412</v>
      </c>
      <c r="H6" s="56">
        <f>IFERROR('Historical FS'!H18/'Historical FS'!G18-1,0)</f>
        <v>0.20852129356487437</v>
      </c>
      <c r="I6" s="56">
        <f>IFERROR('Historical FS'!I18/'Historical FS'!H18-1,0)</f>
        <v>0.24637894792987503</v>
      </c>
      <c r="J6" s="56">
        <f>IFERROR('Historical FS'!J18/'Historical FS'!I18-1,0)</f>
        <v>-2.0102893450346215E-2</v>
      </c>
      <c r="K6" s="56">
        <f>IFERROR('Historical FS'!K18/'Historical FS'!J18-1,0)</f>
        <v>2.5570192869249109E-2</v>
      </c>
      <c r="L6" s="56">
        <f>IFERROR('Historical FS'!L18/'Historical FS'!K18-1,0)</f>
        <v>5.7078196533080661E-2</v>
      </c>
      <c r="N6" s="30">
        <f t="shared" ref="N6:N9" si="0">IFERROR(AVERAGE(D6:L6),0)</f>
        <v>7.0350227704659665E-2</v>
      </c>
      <c r="O6" s="30">
        <f t="shared" ref="O6:O9" si="1">IFERROR(MEDIAN(C6:M6),0)</f>
        <v>5.7078196533080661E-2</v>
      </c>
    </row>
    <row r="7" spans="2:15" x14ac:dyDescent="0.3">
      <c r="B7" t="s">
        <v>97</v>
      </c>
      <c r="C7" s="30"/>
      <c r="D7" s="56">
        <f>IFERROR('Historical FS'!D27/'Historical FS'!C27-1,0)</f>
        <v>6.7584614353008332E-2</v>
      </c>
      <c r="E7" s="56">
        <f>IFERROR('Historical FS'!E27/'Historical FS'!D27-1,0)</f>
        <v>0.12146246706589925</v>
      </c>
      <c r="F7" s="56">
        <f>IFERROR('Historical FS'!F27/'Historical FS'!E27-1,0)</f>
        <v>3.2545193392599536E-2</v>
      </c>
      <c r="G7" s="56">
        <f>IFERROR('Historical FS'!G27/'Historical FS'!F27-1,0)</f>
        <v>-0.12879188954173304</v>
      </c>
      <c r="H7" s="56">
        <f>IFERROR('Historical FS'!H27/'Historical FS'!G27-1,0)</f>
        <v>0.22514477089911966</v>
      </c>
      <c r="I7" s="56">
        <f>IFERROR('Historical FS'!I27/'Historical FS'!H27-1,0)</f>
        <v>0.264918685027691</v>
      </c>
      <c r="J7" s="56">
        <f>IFERROR('Historical FS'!J27/'Historical FS'!I27-1,0)</f>
        <v>-9.448321319090458E-3</v>
      </c>
      <c r="K7" s="56">
        <f>IFERROR('Historical FS'!K27/'Historical FS'!J27-1,0)</f>
        <v>2.1790930768229799E-2</v>
      </c>
      <c r="L7" s="56">
        <f>IFERROR('Historical FS'!L27/'Historical FS'!K27-1,0)</f>
        <v>5.8308655768017248E-2</v>
      </c>
      <c r="N7" s="30">
        <f t="shared" si="0"/>
        <v>7.2612789601526812E-2</v>
      </c>
      <c r="O7" s="30">
        <f t="shared" si="1"/>
        <v>5.8308655768017248E-2</v>
      </c>
    </row>
    <row r="8" spans="2:15" x14ac:dyDescent="0.3">
      <c r="B8" t="s">
        <v>101</v>
      </c>
      <c r="C8" s="30"/>
      <c r="D8" s="56">
        <f>IFERROR('Historical FS'!D36/'Historical FS'!C36-1,0)</f>
        <v>6.127933383800177E-2</v>
      </c>
      <c r="E8" s="56">
        <f>IFERROR('Historical FS'!E36/'Historical FS'!D36-1,0)</f>
        <v>0.16239177682167782</v>
      </c>
      <c r="F8" s="56">
        <f>IFERROR('Historical FS'!F36/'Historical FS'!E36-1,0)</f>
        <v>0.22500199898470163</v>
      </c>
      <c r="G8" s="56">
        <f>IFERROR('Historical FS'!G36/'Historical FS'!F36-1,0)</f>
        <v>-0.17984419519318484</v>
      </c>
      <c r="H8" s="56">
        <f>IFERROR('Historical FS'!H36/'Historical FS'!G36-1,0)</f>
        <v>0.25795836175137099</v>
      </c>
      <c r="I8" s="56">
        <f>IFERROR('Historical FS'!I36/'Historical FS'!H36-1,0)</f>
        <v>0.27849303449244922</v>
      </c>
      <c r="J8" s="56">
        <f>IFERROR('Historical FS'!J36/'Historical FS'!I36-1,0)</f>
        <v>2.4069168218343595E-3</v>
      </c>
      <c r="K8" s="56">
        <f>IFERROR('Historical FS'!K36/'Historical FS'!J36-1,0)</f>
        <v>-9.8261227455973543E-3</v>
      </c>
      <c r="L8" s="56">
        <f>IFERROR('Historical FS'!L36/'Historical FS'!K36-1,0)</f>
        <v>7.2194173474019241E-2</v>
      </c>
      <c r="N8" s="30">
        <f t="shared" si="0"/>
        <v>9.6672808693919199E-2</v>
      </c>
      <c r="O8" s="30">
        <f t="shared" si="1"/>
        <v>7.2194173474019241E-2</v>
      </c>
    </row>
    <row r="9" spans="2:15" ht="15" thickBot="1" x14ac:dyDescent="0.35">
      <c r="B9" s="31" t="s">
        <v>100</v>
      </c>
      <c r="C9" s="32"/>
      <c r="D9" s="57">
        <f>IFERROR('Historical FS'!D44/'Historical FS'!C44-1,0)</f>
        <v>8.4208810537972134E-2</v>
      </c>
      <c r="E9" s="57">
        <f>IFERROR('Historical FS'!E44/'Historical FS'!D44-1,0)</f>
        <v>0.11650644574362401</v>
      </c>
      <c r="F9" s="57">
        <f>IFERROR('Historical FS'!F44/'Historical FS'!E44-1,0)</f>
        <v>0.76521571469920979</v>
      </c>
      <c r="G9" s="57">
        <f>IFERROR('Historical FS'!G44/'Historical FS'!F44-1,0)</f>
        <v>5.9113555156941944E-2</v>
      </c>
      <c r="H9" s="57">
        <f>IFERROR('Historical FS'!H44/'Historical FS'!G44-1,0)</f>
        <v>6.9767819288815591E-2</v>
      </c>
      <c r="I9" s="57">
        <f>IFERROR('Historical FS'!I44/'Historical FS'!H44-1,0)</f>
        <v>0.34782561142550716</v>
      </c>
      <c r="J9" s="57">
        <f>IFERROR('Historical FS'!J44/'Historical FS'!I44-1,0)</f>
        <v>-0.1129033549968389</v>
      </c>
      <c r="K9" s="57">
        <f>IFERROR('Historical FS'!K44/'Historical FS'!J44-1,0)</f>
        <v>4.3636312217121498E-2</v>
      </c>
      <c r="L9" s="57">
        <f>IFERROR('Historical FS'!L44/'Historical FS'!K44-1,0)</f>
        <v>1.0453436701325813E-2</v>
      </c>
      <c r="M9" s="31"/>
      <c r="N9" s="32">
        <f t="shared" si="0"/>
        <v>0.15375826119707545</v>
      </c>
      <c r="O9" s="32">
        <f t="shared" si="1"/>
        <v>6.9767819288815591E-2</v>
      </c>
    </row>
    <row r="10" spans="2:15" ht="15" thickBot="1" x14ac:dyDescent="0.35"/>
    <row r="11" spans="2:15" x14ac:dyDescent="0.3">
      <c r="B11" s="28" t="s">
        <v>92</v>
      </c>
      <c r="C11" s="55">
        <f>IFERROR('Historical FS'!C13,0)</f>
        <v>0.48678158231932583</v>
      </c>
      <c r="D11" s="55">
        <f>IFERROR('Historical FS'!D13,0)</f>
        <v>0.49440653788101624</v>
      </c>
      <c r="E11" s="55">
        <f>IFERROR('Historical FS'!E13,0)</f>
        <v>0.49904508893126504</v>
      </c>
      <c r="F11" s="55">
        <f>IFERROR('Historical FS'!F13,0)</f>
        <v>0.50735911978083614</v>
      </c>
      <c r="G11" s="55">
        <f>IFERROR('Historical FS'!G13,0)</f>
        <v>0.45426509086442762</v>
      </c>
      <c r="H11" s="55">
        <f>IFERROR('Historical FS'!H13,0)</f>
        <v>0.43848102401304379</v>
      </c>
      <c r="I11" s="55">
        <f>IFERROR('Historical FS'!I13,0)</f>
        <v>0.45991745797989614</v>
      </c>
      <c r="J11" s="55">
        <f>IFERROR('Historical FS'!J13,0)</f>
        <v>0.47497465845962877</v>
      </c>
      <c r="K11" s="55">
        <f>IFERROR('Historical FS'!K13,0)</f>
        <v>0.44945072802135433</v>
      </c>
      <c r="L11" s="55">
        <f>IFERROR('Historical FS'!L13,0)</f>
        <v>0.4565685369552317</v>
      </c>
      <c r="M11" s="28"/>
      <c r="N11" s="29">
        <f>IFERROR(AVERAGE(C11:L11),0)</f>
        <v>0.47212498252060248</v>
      </c>
      <c r="O11" s="29">
        <f>IFERROR(MEDIAN(C11:M11),0)</f>
        <v>0.46744605821976248</v>
      </c>
    </row>
    <row r="12" spans="2:15" x14ac:dyDescent="0.3">
      <c r="B12" t="s">
        <v>93</v>
      </c>
      <c r="C12" s="56">
        <f>IFERROR('Historical FS'!C19,0)</f>
        <v>0.36171096811605047</v>
      </c>
      <c r="D12" s="56">
        <f>IFERROR('Historical FS'!D19,0)</f>
        <v>0.38022998950031928</v>
      </c>
      <c r="E12" s="56">
        <f>IFERROR('Historical FS'!E19,0)</f>
        <v>0.38348264507056118</v>
      </c>
      <c r="F12" s="56">
        <f>IFERROR('Historical FS'!F19,0)</f>
        <v>0.39166715599228152</v>
      </c>
      <c r="G12" s="56">
        <f>IFERROR('Historical FS'!G19,0)</f>
        <v>0.3464405891900616</v>
      </c>
      <c r="H12" s="56">
        <f>IFERROR('Historical FS'!H19,0)</f>
        <v>0.34006606365552439</v>
      </c>
      <c r="I12" s="56">
        <f>IFERROR('Historical FS'!I19,0)</f>
        <v>0.36244517162741785</v>
      </c>
      <c r="J12" s="56">
        <f>IFERROR('Historical FS'!J19,0)</f>
        <v>0.37077595605248426</v>
      </c>
      <c r="K12" s="56">
        <f>IFERROR('Historical FS'!K19,0)</f>
        <v>0.34294257264746891</v>
      </c>
      <c r="L12" s="56">
        <f>IFERROR('Historical FS'!L19,0)</f>
        <v>0.34622231464059111</v>
      </c>
      <c r="N12" s="30">
        <f t="shared" ref="N12:N15" si="2">IFERROR(AVERAGE(C12:L12),0)</f>
        <v>0.36259834264927604</v>
      </c>
      <c r="O12" s="30">
        <f t="shared" ref="O12:O15" si="3">IFERROR(MEDIAN(C12:M12),0)</f>
        <v>0.36207806987173419</v>
      </c>
    </row>
    <row r="13" spans="2:15" x14ac:dyDescent="0.3">
      <c r="B13" t="s">
        <v>103</v>
      </c>
      <c r="C13" s="56">
        <f>IFERROR('Historical FS'!C28,0)</f>
        <v>0.33475621732339439</v>
      </c>
      <c r="D13" s="56">
        <f>IFERROR('Historical FS'!D28,0)</f>
        <v>0.35177636094229231</v>
      </c>
      <c r="E13" s="56">
        <f>IFERROR('Historical FS'!E28,0)</f>
        <v>0.35459099975630731</v>
      </c>
      <c r="F13" s="56">
        <f>IFERROR('Historical FS'!F28,0)</f>
        <v>0.35836108990700116</v>
      </c>
      <c r="G13" s="56">
        <f>IFERROR('Historical FS'!G28,0)</f>
        <v>0.3130326478532689</v>
      </c>
      <c r="H13" s="56">
        <f>IFERROR('Historical FS'!H28,0)</f>
        <v>0.31149943589315698</v>
      </c>
      <c r="I13" s="56">
        <f>IFERROR('Historical FS'!I28,0)</f>
        <v>0.33693706752616326</v>
      </c>
      <c r="J13" s="56">
        <f>IFERROR('Historical FS'!J28,0)</f>
        <v>0.34842932499793172</v>
      </c>
      <c r="K13" s="56">
        <f>IFERROR('Historical FS'!K28,0)</f>
        <v>0.32108586793947269</v>
      </c>
      <c r="L13" s="56">
        <f>IFERROR('Historical FS'!L28,0)</f>
        <v>0.32453390711615798</v>
      </c>
      <c r="N13" s="30">
        <f t="shared" si="2"/>
        <v>0.33550029192551467</v>
      </c>
      <c r="O13" s="30">
        <f t="shared" si="3"/>
        <v>0.3358466424247788</v>
      </c>
    </row>
    <row r="14" spans="2:15" x14ac:dyDescent="0.3">
      <c r="B14" t="s">
        <v>104</v>
      </c>
      <c r="C14" s="56">
        <f>IFERROR('Historical FS'!C31,0)</f>
        <v>0.33360978871856267</v>
      </c>
      <c r="D14" s="56">
        <f>IFERROR('Historical FS'!D31,0)</f>
        <v>0.34912934584825317</v>
      </c>
      <c r="E14" s="56">
        <f>IFERROR('Historical FS'!E31,0)</f>
        <v>0.3531139492730388</v>
      </c>
      <c r="F14" s="56">
        <f>IFERROR('Historical FS'!F31,0)</f>
        <v>0.35671331120906624</v>
      </c>
      <c r="G14" s="56">
        <f>IFERROR('Historical FS'!G31,0)</f>
        <v>0.31185577004087706</v>
      </c>
      <c r="H14" s="56">
        <f>IFERROR('Historical FS'!H31,0)</f>
        <v>0.31051022895053687</v>
      </c>
      <c r="I14" s="56">
        <f>IFERROR('Historical FS'!I31,0)</f>
        <v>0.33584046482305235</v>
      </c>
      <c r="J14" s="56">
        <f>IFERROR('Historical FS'!J31,0)</f>
        <v>0.34785360170782698</v>
      </c>
      <c r="K14" s="56">
        <f>IFERROR('Historical FS'!K31,0)</f>
        <v>0.32048764698963161</v>
      </c>
      <c r="L14" s="56">
        <f>IFERROR('Historical FS'!L31,0)</f>
        <v>0.32345400692799642</v>
      </c>
      <c r="N14" s="30">
        <f t="shared" si="2"/>
        <v>0.33425681144888419</v>
      </c>
      <c r="O14" s="30">
        <f t="shared" si="3"/>
        <v>0.33472512677080751</v>
      </c>
    </row>
    <row r="15" spans="2:15" ht="15" thickBot="1" x14ac:dyDescent="0.35">
      <c r="B15" s="31" t="s">
        <v>105</v>
      </c>
      <c r="C15" s="57">
        <f>IFERROR('Historical FS'!C37,0)</f>
        <v>0.20385993134990041</v>
      </c>
      <c r="D15" s="57">
        <f>IFERROR('Historical FS'!D37,0)</f>
        <v>0.21295962571238797</v>
      </c>
      <c r="E15" s="57">
        <f>IFERROR('Historical FS'!E37,0)</f>
        <v>0.22249800267193054</v>
      </c>
      <c r="F15" s="57">
        <f>IFERROR('Historical FS'!F37,0)</f>
        <v>0.26677614061800814</v>
      </c>
      <c r="G15" s="57">
        <f>IFERROR('Historical FS'!G37,0)</f>
        <v>0.21937656131204519</v>
      </c>
      <c r="H15" s="57">
        <f>IFERROR('Historical FS'!H37,0)</f>
        <v>0.2241489505897809</v>
      </c>
      <c r="I15" s="57">
        <f>IFERROR('Historical FS'!I37,0)</f>
        <v>0.24505524116728605</v>
      </c>
      <c r="J15" s="57">
        <f>IFERROR('Historical FS'!J37,0)</f>
        <v>0.25644652574326599</v>
      </c>
      <c r="K15" s="57">
        <f>IFERROR('Historical FS'!K37,0)</f>
        <v>0.22900909598538774</v>
      </c>
      <c r="L15" s="57">
        <f>IFERROR('Historical FS'!L37,0)</f>
        <v>0.2345053278626166</v>
      </c>
      <c r="M15" s="31"/>
      <c r="N15" s="32">
        <f t="shared" si="2"/>
        <v>0.23146354030126096</v>
      </c>
      <c r="O15" s="32">
        <f t="shared" si="3"/>
        <v>0.22657902328758434</v>
      </c>
    </row>
    <row r="16" spans="2:15" ht="15" thickBot="1" x14ac:dyDescent="0.35">
      <c r="O16" s="29"/>
    </row>
    <row r="17" spans="2:15" x14ac:dyDescent="0.3">
      <c r="B17" s="28" t="s">
        <v>95</v>
      </c>
      <c r="C17" s="55">
        <f>IFERROR('Historical FS'!C16,0)</f>
        <v>0.12507061420327537</v>
      </c>
      <c r="D17" s="55">
        <f>IFERROR('Historical FS'!D16,0)</f>
        <v>0.11417654838069698</v>
      </c>
      <c r="E17" s="55">
        <f>IFERROR('Historical FS'!E16,0)</f>
        <v>0.11556244386070379</v>
      </c>
      <c r="F17" s="55">
        <f>IFERROR('Historical FS'!F16,0)</f>
        <v>0.11569196378855465</v>
      </c>
      <c r="G17" s="55">
        <f>IFERROR('Historical FS'!G16,0)</f>
        <v>0.10782450167436604</v>
      </c>
      <c r="H17" s="55">
        <f>IFERROR('Historical FS'!H16,0)</f>
        <v>9.8414960357519399E-2</v>
      </c>
      <c r="I17" s="55">
        <f>IFERROR('Historical FS'!I16,0)</f>
        <v>9.7472286352478302E-2</v>
      </c>
      <c r="J17" s="55">
        <f>IFERROR('Historical FS'!J16,0)</f>
        <v>0.10419870240714456</v>
      </c>
      <c r="K17" s="55">
        <f>IFERROR('Historical FS'!K16,0)</f>
        <v>0.10650815537388544</v>
      </c>
      <c r="L17" s="55">
        <f>IFERROR('Historical FS'!L16,0)</f>
        <v>0.1103462223146406</v>
      </c>
      <c r="M17" s="28"/>
      <c r="N17" s="29">
        <f t="shared" ref="N17:N19" si="4">IFERROR(AVERAGE(C17:L17),0)</f>
        <v>0.10952663987132652</v>
      </c>
      <c r="O17" s="29">
        <f t="shared" ref="O17:O40" si="5">IFERROR(MEDIAN(C17:M17),0)</f>
        <v>0.10908536199450332</v>
      </c>
    </row>
    <row r="18" spans="2:15" x14ac:dyDescent="0.3">
      <c r="B18" t="s">
        <v>69</v>
      </c>
      <c r="C18" s="56">
        <f>IFERROR('Historical FS'!C25,0)</f>
        <v>2.6954750792656124E-2</v>
      </c>
      <c r="D18" s="56">
        <f>IFERROR('Historical FS'!D25,0)</f>
        <v>2.845362855802696E-2</v>
      </c>
      <c r="E18" s="56">
        <f>IFERROR('Historical FS'!E25,0)</f>
        <v>2.8891645314253867E-2</v>
      </c>
      <c r="F18" s="56">
        <f>IFERROR('Historical FS'!F25,0)</f>
        <v>3.3306066085280348E-2</v>
      </c>
      <c r="G18" s="56">
        <f>IFERROR('Historical FS'!G25,0)</f>
        <v>3.3407941336792708E-2</v>
      </c>
      <c r="H18" s="56">
        <f>IFERROR('Historical FS'!H25,0)</f>
        <v>2.8566627762367396E-2</v>
      </c>
      <c r="I18" s="56">
        <f>IFERROR('Historical FS'!I25,0)</f>
        <v>2.550810410125463E-2</v>
      </c>
      <c r="J18" s="56">
        <f>IFERROR('Historical FS'!J25,0)</f>
        <v>2.2346631054552542E-2</v>
      </c>
      <c r="K18" s="56">
        <f>IFERROR('Historical FS'!K25,0)</f>
        <v>2.1856704707996222E-2</v>
      </c>
      <c r="L18" s="56">
        <f>IFERROR('Historical FS'!L25,0)</f>
        <v>2.1688407524433108E-2</v>
      </c>
      <c r="N18" s="30">
        <f t="shared" si="4"/>
        <v>2.709805072376139E-2</v>
      </c>
      <c r="O18" s="30">
        <f t="shared" si="5"/>
        <v>2.7704189675341544E-2</v>
      </c>
    </row>
    <row r="19" spans="2:15" ht="15" thickBot="1" x14ac:dyDescent="0.35">
      <c r="B19" s="31" t="s">
        <v>94</v>
      </c>
      <c r="C19" s="57">
        <f>C15</f>
        <v>0.20385993134990041</v>
      </c>
      <c r="D19" s="57">
        <f t="shared" ref="D19:L19" si="6">D15</f>
        <v>0.21295962571238797</v>
      </c>
      <c r="E19" s="57">
        <f t="shared" si="6"/>
        <v>0.22249800267193054</v>
      </c>
      <c r="F19" s="57">
        <f t="shared" si="6"/>
        <v>0.26677614061800814</v>
      </c>
      <c r="G19" s="57">
        <f t="shared" si="6"/>
        <v>0.21937656131204519</v>
      </c>
      <c r="H19" s="57">
        <f t="shared" si="6"/>
        <v>0.2241489505897809</v>
      </c>
      <c r="I19" s="57">
        <f t="shared" si="6"/>
        <v>0.24505524116728605</v>
      </c>
      <c r="J19" s="57">
        <f t="shared" si="6"/>
        <v>0.25644652574326599</v>
      </c>
      <c r="K19" s="57">
        <f t="shared" si="6"/>
        <v>0.22900909598538774</v>
      </c>
      <c r="L19" s="57">
        <f t="shared" si="6"/>
        <v>0.2345053278626166</v>
      </c>
      <c r="M19" s="31"/>
      <c r="N19" s="32">
        <f t="shared" si="4"/>
        <v>0.23146354030126096</v>
      </c>
      <c r="O19" s="32">
        <f t="shared" si="5"/>
        <v>0.22657902328758434</v>
      </c>
    </row>
    <row r="20" spans="2:15" ht="15" thickBot="1" x14ac:dyDescent="0.35">
      <c r="O20" s="32"/>
    </row>
    <row r="21" spans="2:15" x14ac:dyDescent="0.3">
      <c r="B21" s="28" t="s">
        <v>117</v>
      </c>
      <c r="C21" s="55">
        <f>IFERROR('Historical FS'!C27/(SUM('Historical FS'!C50:C52)),0)</f>
        <v>0.30816048249357225</v>
      </c>
      <c r="D21" s="55">
        <f>IFERROR('Historical FS'!D27/(SUM('Historical FS'!D50:D52)),0)</f>
        <v>0.29087468644158282</v>
      </c>
      <c r="E21" s="55">
        <f>IFERROR('Historical FS'!E27/(SUM('Historical FS'!E50:E52)),0)</f>
        <v>0.28976383969316855</v>
      </c>
      <c r="F21" s="55">
        <f>IFERROR('Historical FS'!F27/(SUM('Historical FS'!F50:F52)),0)</f>
        <v>0.26999905874398611</v>
      </c>
      <c r="G21" s="55">
        <f>IFERROR('Historical FS'!G27/(SUM('Historical FS'!G50:G52)),0)</f>
        <v>0.25436581143904541</v>
      </c>
      <c r="H21" s="55">
        <f>IFERROR('Historical FS'!H27/(SUM('Historical FS'!H50:H52)),0)</f>
        <v>0.30126364703553982</v>
      </c>
      <c r="I21" s="55">
        <f>IFERROR('Historical FS'!I27/(SUM('Historical FS'!I50:I52)),0)</f>
        <v>0.34400810235339674</v>
      </c>
      <c r="J21" s="55">
        <f>IFERROR('Historical FS'!J27/(SUM('Historical FS'!J50:J52)),0)</f>
        <v>0.31639278106007412</v>
      </c>
      <c r="K21" s="55">
        <f>IFERROR('Historical FS'!K27/(SUM('Historical FS'!K50:K52)),0)</f>
        <v>0.34395791826418953</v>
      </c>
      <c r="L21" s="55">
        <f>IFERROR('Historical FS'!L27/(SUM('Historical FS'!L50:L52)),0)</f>
        <v>0.34169955661975826</v>
      </c>
      <c r="M21" s="28"/>
      <c r="N21" s="29">
        <f t="shared" ref="N21:N25" si="7">IFERROR(AVERAGE(C21:L21),0)</f>
        <v>0.30604858841443139</v>
      </c>
      <c r="O21" s="29">
        <f t="shared" si="5"/>
        <v>0.30471206476455603</v>
      </c>
    </row>
    <row r="22" spans="2:15" x14ac:dyDescent="0.3">
      <c r="B22" t="s">
        <v>99</v>
      </c>
      <c r="C22" s="56">
        <f>IFERROR('Historical FS'!C47,0)</f>
        <v>0.33819420549170731</v>
      </c>
      <c r="D22" s="56">
        <f>IFERROR('Historical FS'!D47,0)</f>
        <v>0.32072859556008038</v>
      </c>
      <c r="E22" s="56">
        <f>IFERROR('Historical FS'!E47,0)</f>
        <v>0.34463983874236903</v>
      </c>
      <c r="F22" s="56">
        <f>IFERROR('Historical FS'!F47,0)</f>
        <v>5.3044068290594826E-2</v>
      </c>
      <c r="G22" s="56">
        <f>IFERROR('Historical FS'!G47,0)</f>
        <v>0</v>
      </c>
      <c r="H22" s="56">
        <f>IFERROR('Historical FS'!H47,0)</f>
        <v>0</v>
      </c>
      <c r="I22" s="56">
        <f>IFERROR('Historical FS'!I47,0)</f>
        <v>0</v>
      </c>
      <c r="J22" s="56">
        <f>IFERROR('Historical FS'!J47,0)</f>
        <v>1.460601082262647E-2</v>
      </c>
      <c r="K22" s="56">
        <f>IFERROR('Historical FS'!K47,0)</f>
        <v>0</v>
      </c>
      <c r="L22" s="56">
        <f>IFERROR('Historical FS'!L47,0)</f>
        <v>1.7695535997179324E-2</v>
      </c>
      <c r="N22" s="30">
        <f t="shared" si="7"/>
        <v>0.10889082549045574</v>
      </c>
      <c r="O22" s="30">
        <f t="shared" si="5"/>
        <v>1.6150773409902897E-2</v>
      </c>
    </row>
    <row r="23" spans="2:15" x14ac:dyDescent="0.3">
      <c r="B23" t="s">
        <v>116</v>
      </c>
      <c r="C23" s="56">
        <f>IFERROR('Historical FS'!C36/(SUM('Historical FS'!C50:C51)),0)</f>
        <v>0.18784851548911047</v>
      </c>
      <c r="D23" s="56">
        <f>IFERROR('Historical FS'!D36/(SUM('Historical FS'!D50:D51)),0)</f>
        <v>0.17621120961277748</v>
      </c>
      <c r="E23" s="56">
        <f>IFERROR('Historical FS'!E36/(SUM('Historical FS'!E50:E51)),0)</f>
        <v>0.18186171424262107</v>
      </c>
      <c r="F23" s="56">
        <f>IFERROR('Historical FS'!F36/(SUM('Historical FS'!F50:F51)),0)</f>
        <v>0.2018508038360578</v>
      </c>
      <c r="G23" s="56">
        <f>IFERROR('Historical FS'!G36/(SUM('Historical FS'!G50:G51)),0)</f>
        <v>0.17906224201431251</v>
      </c>
      <c r="H23" s="56">
        <f>IFERROR('Historical FS'!H36/(SUM('Historical FS'!H50:H51)),0)</f>
        <v>0.21764928252195909</v>
      </c>
      <c r="I23" s="56">
        <f>IFERROR('Historical FS'!I36/(SUM('Historical FS'!I50:I51)),0)</f>
        <v>0.25130525140097792</v>
      </c>
      <c r="J23" s="56">
        <f>IFERROR('Historical FS'!J36/(SUM('Historical FS'!J50:J51)),0)</f>
        <v>0.23381574885581222</v>
      </c>
      <c r="K23" s="56">
        <f>IFERROR('Historical FS'!K36/(SUM('Historical FS'!K50:K51)),0)</f>
        <v>0.246318973069418</v>
      </c>
      <c r="L23" s="56">
        <f>IFERROR('Historical FS'!L36/(SUM('Historical FS'!L50:L51)),0)</f>
        <v>0.25507859208658978</v>
      </c>
      <c r="N23" s="30">
        <f t="shared" si="7"/>
        <v>0.21310023331296363</v>
      </c>
      <c r="O23" s="30">
        <f t="shared" si="5"/>
        <v>0.20975004317900844</v>
      </c>
    </row>
    <row r="24" spans="2:15" x14ac:dyDescent="0.3">
      <c r="B24" t="s">
        <v>98</v>
      </c>
      <c r="C24" s="56">
        <f>IFERROR(C22*C23,0)</f>
        <v>6.3529279448636386E-2</v>
      </c>
      <c r="D24" s="56">
        <f t="shared" ref="D24:L24" si="8">IFERROR(D22*D23,0)</f>
        <v>5.6515973781049056E-2</v>
      </c>
      <c r="E24" s="56">
        <f t="shared" si="8"/>
        <v>6.2676791869987716E-2</v>
      </c>
      <c r="F24" s="56">
        <f t="shared" si="8"/>
        <v>1.070698782319131E-2</v>
      </c>
      <c r="G24" s="56">
        <f t="shared" si="8"/>
        <v>0</v>
      </c>
      <c r="H24" s="56">
        <f t="shared" si="8"/>
        <v>0</v>
      </c>
      <c r="I24" s="56">
        <f t="shared" si="8"/>
        <v>0</v>
      </c>
      <c r="J24" s="56">
        <f t="shared" si="8"/>
        <v>3.4151153582885059E-3</v>
      </c>
      <c r="K24" s="56">
        <f t="shared" si="8"/>
        <v>0</v>
      </c>
      <c r="L24" s="56">
        <f t="shared" si="8"/>
        <v>4.5137524083780703E-3</v>
      </c>
      <c r="N24" s="30">
        <f t="shared" si="7"/>
        <v>2.0135790068953104E-2</v>
      </c>
      <c r="O24" s="30">
        <f t="shared" si="5"/>
        <v>3.9644338833332883E-3</v>
      </c>
    </row>
    <row r="25" spans="2:15" ht="15" thickBot="1" x14ac:dyDescent="0.35">
      <c r="B25" s="31" t="s">
        <v>106</v>
      </c>
      <c r="C25" s="58">
        <f>IFERROR('Historical FS'!C27/'Historical FS'!C21,0)</f>
        <v>291.99918417295532</v>
      </c>
      <c r="D25" s="58">
        <f>IFERROR('Historical FS'!D27/'Historical FS'!D21,0)</f>
        <v>132.8954873489262</v>
      </c>
      <c r="E25" s="58">
        <f>IFERROR('Historical FS'!E27/'Historical FS'!E21,0)</f>
        <v>240.06694677871144</v>
      </c>
      <c r="F25" s="58">
        <f>IFERROR('Historical FS'!F27/'Historical FS'!F21,0)</f>
        <v>217.48132219218485</v>
      </c>
      <c r="G25" s="58">
        <f>IFERROR('Historical FS'!G27/'Historical FS'!G21,0)</f>
        <v>265.98568224943932</v>
      </c>
      <c r="H25" s="58">
        <f>IFERROR('Historical FS'!H27/'Historical FS'!H21,0)</f>
        <v>314.89814969161517</v>
      </c>
      <c r="I25" s="58">
        <f>IFERROR('Historical FS'!I27/'Historical FS'!I21,0)</f>
        <v>307.25536839398222</v>
      </c>
      <c r="J25" s="58">
        <f>IFERROR('Historical FS'!J27/'Historical FS'!J21,0)</f>
        <v>605.2027614420864</v>
      </c>
      <c r="K25" s="58">
        <f>IFERROR('Historical FS'!K27/'Historical FS'!K21,0)</f>
        <v>536.73457612072787</v>
      </c>
      <c r="L25" s="58">
        <f>IFERROR('Historical FS'!L27/'Historical FS'!L21,0)</f>
        <v>300.5221322061758</v>
      </c>
      <c r="M25" s="31"/>
      <c r="N25" s="33">
        <f t="shared" si="7"/>
        <v>321.3041610596805</v>
      </c>
      <c r="O25" s="33">
        <f t="shared" si="5"/>
        <v>296.26065818956556</v>
      </c>
    </row>
    <row r="26" spans="2:15" ht="15" thickBot="1" x14ac:dyDescent="0.35">
      <c r="O26" s="29"/>
    </row>
    <row r="27" spans="2:15" x14ac:dyDescent="0.3">
      <c r="B27" s="28" t="s">
        <v>107</v>
      </c>
      <c r="C27" s="59">
        <f>IFERROR('Historical FS'!C6/'Historical FS'!C62,0)</f>
        <v>17.28479685081377</v>
      </c>
      <c r="D27" s="59">
        <f>IFERROR('Historical FS'!D6/'Historical FS'!D62,0)</f>
        <v>16.198449832046499</v>
      </c>
      <c r="E27" s="59">
        <f>IFERROR('Historical FS'!E6/'Historical FS'!E62,0)</f>
        <v>11.97923811978351</v>
      </c>
      <c r="F27" s="59">
        <f>IFERROR('Historical FS'!F6/'Historical FS'!F62,0)</f>
        <v>19.273399207018201</v>
      </c>
      <c r="G27" s="59">
        <f>IFERROR('Historical FS'!G6/'Historical FS'!G62,0)</f>
        <v>19.689591078066915</v>
      </c>
      <c r="H27" s="59">
        <f>IFERROR('Historical FS'!H6/'Historical FS'!H62,0)</f>
        <v>24.633226369876922</v>
      </c>
      <c r="I27" s="59">
        <f>IFERROR('Historical FS'!I6/'Historical FS'!I62,0)</f>
        <v>23.990173095593285</v>
      </c>
      <c r="J27" s="59">
        <f>IFERROR('Historical FS'!J6/'Historical FS'!J62,0)</f>
        <v>16.874062923826699</v>
      </c>
      <c r="K27" s="59">
        <f>IFERROR('Historical FS'!K6/'Historical FS'!K62,0)</f>
        <v>15.959450554805738</v>
      </c>
      <c r="L27" s="59">
        <f>IFERROR('Historical FS'!L6/'Historical FS'!L62,0)</f>
        <v>20.104821482285882</v>
      </c>
      <c r="M27" s="28"/>
      <c r="N27" s="34">
        <f t="shared" ref="N27:N31" si="9">IFERROR(AVERAGE(C27:L27),0)</f>
        <v>18.598720951411742</v>
      </c>
      <c r="O27" s="34">
        <f>IFERROR(MEDIAN(C27:M27),0)</f>
        <v>18.279098028915985</v>
      </c>
    </row>
    <row r="28" spans="2:15" x14ac:dyDescent="0.3">
      <c r="B28" t="s">
        <v>111</v>
      </c>
      <c r="C28" s="60">
        <f>IFERROR('Historical FS'!C6/'Historical FS'!C53,0)</f>
        <v>4.5306244815761563</v>
      </c>
      <c r="D28" s="60">
        <f>IFERROR('Historical FS'!D6/'Historical FS'!D53,0)</f>
        <v>3.7152199472417347</v>
      </c>
      <c r="E28" s="60">
        <f>IFERROR('Historical FS'!E6/'Historical FS'!E53,0)</f>
        <v>3.8411296865328062</v>
      </c>
      <c r="F28" s="60">
        <f>IFERROR('Historical FS'!F6/'Historical FS'!F53,0)</f>
        <v>4.1996200693194918</v>
      </c>
      <c r="G28" s="60">
        <f>IFERROR('Historical FS'!G6/'Historical FS'!G53,0)</f>
        <v>3.7479256371841467</v>
      </c>
      <c r="H28" s="60">
        <f>IFERROR('Historical FS'!H6/'Historical FS'!H53,0)</f>
        <v>4.1849767545533405</v>
      </c>
      <c r="I28" s="60">
        <f>IFERROR('Historical FS'!I6/'Historical FS'!I53,0)</f>
        <v>4.3323459375454343</v>
      </c>
      <c r="J28" s="60">
        <f>IFERROR('Historical FS'!J6/'Historical FS'!J53,0)</f>
        <v>4.0093121036099895</v>
      </c>
      <c r="K28" s="60">
        <f>IFERROR('Historical FS'!K6/'Historical FS'!K53,0)</f>
        <v>4.2584165295218082</v>
      </c>
      <c r="L28" s="60">
        <f>IFERROR('Historical FS'!L6/'Historical FS'!L53,0)</f>
        <v>4.2106173561890436</v>
      </c>
      <c r="N28" s="35">
        <f t="shared" si="9"/>
        <v>4.1030188503273948</v>
      </c>
      <c r="O28" s="35">
        <f t="shared" ref="O28:O31" si="10">IFERROR(MEDIAN(C28:M28),0)</f>
        <v>4.1922984119364166</v>
      </c>
    </row>
    <row r="29" spans="2:15" x14ac:dyDescent="0.3">
      <c r="B29" t="s">
        <v>108</v>
      </c>
      <c r="C29" s="60">
        <f>IFERROR('Historical FS'!C9/'Historical FS'!C63,0)</f>
        <v>2.7043925037887653</v>
      </c>
      <c r="D29" s="60">
        <f>IFERROR('Historical FS'!D9/'Historical FS'!D63,0)</f>
        <v>2.9309187748245851</v>
      </c>
      <c r="E29" s="60">
        <f>IFERROR('Historical FS'!E9/'Historical FS'!E63,0)</f>
        <v>3.0810821470922036</v>
      </c>
      <c r="F29" s="60">
        <f>IFERROR('Historical FS'!F9/'Historical FS'!F63,0)</f>
        <v>2.7401166529456611</v>
      </c>
      <c r="G29" s="60">
        <f>IFERROR('Historical FS'!G9/'Historical FS'!G63,0)</f>
        <v>2.5854666081891593</v>
      </c>
      <c r="H29" s="60">
        <f>IFERROR('Historical FS'!H9/'Historical FS'!H63,0)</f>
        <v>3.1344430995521977</v>
      </c>
      <c r="I29" s="60">
        <f>IFERROR('Historical FS'!I9/'Historical FS'!I63,0)</f>
        <v>3.2538959626748771</v>
      </c>
      <c r="J29" s="60">
        <f>IFERROR('Historical FS'!J9/'Historical FS'!J63,0)</f>
        <v>2.5200517491846188</v>
      </c>
      <c r="K29" s="60">
        <f>IFERROR('Historical FS'!K9/'Historical FS'!K63,0)</f>
        <v>2.6518977385218667</v>
      </c>
      <c r="L29" s="60">
        <f>IFERROR('Historical FS'!L9/'Historical FS'!L63,0)</f>
        <v>2.301437043305683</v>
      </c>
      <c r="N29" s="35">
        <f t="shared" si="9"/>
        <v>2.7903702280079621</v>
      </c>
      <c r="O29" s="35">
        <f t="shared" si="10"/>
        <v>2.7222545783672132</v>
      </c>
    </row>
    <row r="30" spans="2:15" x14ac:dyDescent="0.3">
      <c r="B30" t="s">
        <v>109</v>
      </c>
      <c r="C30" s="60">
        <f>IFERROR('Historical FS'!C6/'Historical FS'!C56,0)</f>
        <v>2.6908895974953251</v>
      </c>
      <c r="D30" s="60">
        <f>IFERROR('Historical FS'!D6/'Historical FS'!D56,0)</f>
        <v>2.6294508096122238</v>
      </c>
      <c r="E30" s="60">
        <f>IFERROR('Historical FS'!E6/'Historical FS'!E56,0)</f>
        <v>2.4950503737188501</v>
      </c>
      <c r="F30" s="60">
        <f>IFERROR('Historical FS'!F6/'Historical FS'!F56,0)</f>
        <v>2.2745326145125531</v>
      </c>
      <c r="G30" s="60">
        <f>IFERROR('Historical FS'!G6/'Historical FS'!G56,0)</f>
        <v>2.1141915695787881</v>
      </c>
      <c r="H30" s="60">
        <f>IFERROR('Historical FS'!H6/'Historical FS'!H56,0)</f>
        <v>2.5027057654904197</v>
      </c>
      <c r="I30" s="60">
        <f>IFERROR('Historical FS'!I6/'Historical FS'!I56,0)</f>
        <v>2.7433480057266046</v>
      </c>
      <c r="J30" s="60">
        <f>IFERROR('Historical FS'!J6/'Historical FS'!J56,0)</f>
        <v>2.4418189360112894</v>
      </c>
      <c r="K30" s="60">
        <f>IFERROR('Historical FS'!K6/'Historical FS'!K56,0)</f>
        <v>3.4308291789741219</v>
      </c>
      <c r="L30" s="60">
        <f>IFERROR('Historical FS'!L6/'Historical FS'!L56,0)</f>
        <v>3.5142383679558411</v>
      </c>
      <c r="N30" s="35">
        <f t="shared" si="9"/>
        <v>2.6837055219076023</v>
      </c>
      <c r="O30" s="35">
        <f t="shared" si="10"/>
        <v>2.5660782875513215</v>
      </c>
    </row>
    <row r="31" spans="2:15" ht="15" thickBot="1" x14ac:dyDescent="0.35">
      <c r="B31" s="31" t="s">
        <v>113</v>
      </c>
      <c r="C31" s="58">
        <f>IFERROR('Historical FS'!C6/SUM('Historical FS'!C50:C51),0)</f>
        <v>0.92145874005368755</v>
      </c>
      <c r="D31" s="58">
        <f>IFERROR('Historical FS'!D6/SUM('Historical FS'!D50:D51),0)</f>
        <v>0.82743951593321752</v>
      </c>
      <c r="E31" s="58">
        <f>IFERROR('Historical FS'!E6/SUM('Historical FS'!E50:E51),0)</f>
        <v>0.81736335633885671</v>
      </c>
      <c r="F31" s="58">
        <f>IFERROR('Historical FS'!F6/SUM('Historical FS'!F50:F51),0)</f>
        <v>0.75662989714317919</v>
      </c>
      <c r="G31" s="58">
        <f>IFERROR('Historical FS'!G6/SUM('Historical FS'!G50:G51),0)</f>
        <v>0.81623233103563475</v>
      </c>
      <c r="H31" s="58">
        <f>IFERROR('Historical FS'!H6/SUM('Historical FS'!H50:H51),0)</f>
        <v>0.97100290654620558</v>
      </c>
      <c r="I31" s="58">
        <f>IFERROR('Historical FS'!I6/SUM('Historical FS'!I50:I51),0)</f>
        <v>1.0255044952473606</v>
      </c>
      <c r="J31" s="58">
        <f>IFERROR('Historical FS'!J6/SUM('Historical FS'!J50:J51),0)</f>
        <v>0.91175245278967076</v>
      </c>
      <c r="K31" s="58">
        <f>IFERROR('Historical FS'!K6/SUM('Historical FS'!K50:K51),0)</f>
        <v>1.075585980589761</v>
      </c>
      <c r="L31" s="58">
        <f>IFERROR('Historical FS'!L6/SUM('Historical FS'!L50:L51),0)</f>
        <v>1.0877304767933711</v>
      </c>
      <c r="M31" s="31"/>
      <c r="N31" s="33">
        <f t="shared" si="9"/>
        <v>0.92107001524709453</v>
      </c>
      <c r="O31" s="33">
        <f t="shared" si="10"/>
        <v>0.91660559642167916</v>
      </c>
    </row>
    <row r="32" spans="2:15" ht="15" thickBot="1" x14ac:dyDescent="0.35"/>
    <row r="33" spans="2:15" x14ac:dyDescent="0.3">
      <c r="B33" s="28" t="s">
        <v>110</v>
      </c>
      <c r="C33" s="36">
        <f>IFERROR(365/C27,0)</f>
        <v>21.116823249375695</v>
      </c>
      <c r="D33" s="36">
        <f t="shared" ref="D33:L33" si="11">IFERROR(365/D27,0)</f>
        <v>22.533020368275956</v>
      </c>
      <c r="E33" s="36">
        <f t="shared" si="11"/>
        <v>30.469383474163408</v>
      </c>
      <c r="F33" s="36">
        <f t="shared" si="11"/>
        <v>18.9380189804344</v>
      </c>
      <c r="G33" s="36">
        <f t="shared" si="11"/>
        <v>18.537713584442557</v>
      </c>
      <c r="H33" s="36">
        <f t="shared" si="11"/>
        <v>14.817385044061677</v>
      </c>
      <c r="I33" s="36">
        <f t="shared" si="11"/>
        <v>15.214563002342249</v>
      </c>
      <c r="J33" s="36">
        <f t="shared" si="11"/>
        <v>21.630830799179297</v>
      </c>
      <c r="K33" s="36">
        <f t="shared" si="11"/>
        <v>22.870461532906003</v>
      </c>
      <c r="L33" s="36">
        <f t="shared" si="11"/>
        <v>18.154849090383475</v>
      </c>
      <c r="M33" s="28"/>
      <c r="N33" s="36">
        <f t="shared" ref="N33:N36" si="12">IFERROR(AVERAGE(C33:L33),0)</f>
        <v>20.428304912556474</v>
      </c>
      <c r="O33" s="36">
        <f>IFERROR(MEDIAN(C33:M33),0)</f>
        <v>20.027421114905046</v>
      </c>
    </row>
    <row r="34" spans="2:15" x14ac:dyDescent="0.3">
      <c r="B34" t="s">
        <v>112</v>
      </c>
      <c r="C34" s="37">
        <f>IFERROR(365/C28,0)</f>
        <v>80.562845471805772</v>
      </c>
      <c r="D34" s="37">
        <f t="shared" ref="D34:L34" si="13">IFERROR(365/D28,0)</f>
        <v>98.244519889322959</v>
      </c>
      <c r="E34" s="37">
        <f t="shared" si="13"/>
        <v>95.024128260940614</v>
      </c>
      <c r="F34" s="37">
        <f t="shared" si="13"/>
        <v>86.912623993423466</v>
      </c>
      <c r="G34" s="37">
        <f t="shared" si="13"/>
        <v>97.387204372130526</v>
      </c>
      <c r="H34" s="37">
        <f t="shared" si="13"/>
        <v>87.216732949083294</v>
      </c>
      <c r="I34" s="37">
        <f t="shared" si="13"/>
        <v>84.249966475852816</v>
      </c>
      <c r="J34" s="37">
        <f t="shared" si="13"/>
        <v>91.038061035795536</v>
      </c>
      <c r="K34" s="37">
        <f t="shared" si="13"/>
        <v>85.712611124254465</v>
      </c>
      <c r="L34" s="37">
        <f t="shared" si="13"/>
        <v>86.685625675175373</v>
      </c>
      <c r="N34" s="37">
        <f t="shared" si="12"/>
        <v>89.303431924778494</v>
      </c>
      <c r="O34" s="37">
        <f t="shared" ref="O34:O36" si="14">IFERROR(MEDIAN(C34:M34),0)</f>
        <v>87.064678471253387</v>
      </c>
    </row>
    <row r="35" spans="2:15" x14ac:dyDescent="0.3">
      <c r="B35" t="s">
        <v>114</v>
      </c>
      <c r="C35" s="37">
        <f>IFERROR(365/C29,0)</f>
        <v>134.96561593357731</v>
      </c>
      <c r="D35" s="37">
        <f t="shared" ref="D35:L35" si="15">IFERROR(365/D29,0)</f>
        <v>124.53432798452259</v>
      </c>
      <c r="E35" s="37">
        <f t="shared" si="15"/>
        <v>118.46487129350696</v>
      </c>
      <c r="F35" s="37">
        <f t="shared" si="15"/>
        <v>133.20600771051855</v>
      </c>
      <c r="G35" s="37">
        <f t="shared" si="15"/>
        <v>141.17374358806481</v>
      </c>
      <c r="H35" s="37">
        <f t="shared" si="15"/>
        <v>116.44811802522297</v>
      </c>
      <c r="I35" s="37">
        <f t="shared" si="15"/>
        <v>112.1732237867711</v>
      </c>
      <c r="J35" s="37">
        <f t="shared" si="15"/>
        <v>144.83829553027965</v>
      </c>
      <c r="K35" s="37">
        <f t="shared" si="15"/>
        <v>137.63728317949631</v>
      </c>
      <c r="L35" s="37">
        <f t="shared" si="15"/>
        <v>158.59656081477252</v>
      </c>
      <c r="N35" s="37">
        <f t="shared" si="12"/>
        <v>132.20380478467331</v>
      </c>
      <c r="O35" s="37">
        <f t="shared" si="14"/>
        <v>134.08581182204793</v>
      </c>
    </row>
    <row r="36" spans="2:15" ht="15" thickBot="1" x14ac:dyDescent="0.35">
      <c r="B36" s="31" t="s">
        <v>115</v>
      </c>
      <c r="C36" s="38">
        <f>IFERROR(SUM(C33,C35)-C34,0)</f>
        <v>75.519593711147238</v>
      </c>
      <c r="D36" s="38">
        <f t="shared" ref="D36:L36" si="16">IFERROR(SUM(D33,D35)-D34,0)</f>
        <v>48.822828463475588</v>
      </c>
      <c r="E36" s="38">
        <f t="shared" si="16"/>
        <v>53.910126506729767</v>
      </c>
      <c r="F36" s="38">
        <f t="shared" si="16"/>
        <v>65.231402697529489</v>
      </c>
      <c r="G36" s="38">
        <f t="shared" si="16"/>
        <v>62.324252800376854</v>
      </c>
      <c r="H36" s="38">
        <f t="shared" si="16"/>
        <v>44.048770120201354</v>
      </c>
      <c r="I36" s="38">
        <f t="shared" si="16"/>
        <v>43.137820313260534</v>
      </c>
      <c r="J36" s="38">
        <f t="shared" si="16"/>
        <v>75.431065293663423</v>
      </c>
      <c r="K36" s="38">
        <f t="shared" si="16"/>
        <v>74.795133588147849</v>
      </c>
      <c r="L36" s="38">
        <f t="shared" si="16"/>
        <v>90.065784229980608</v>
      </c>
      <c r="M36" s="31"/>
      <c r="N36" s="38">
        <f t="shared" si="12"/>
        <v>63.328677772451286</v>
      </c>
      <c r="O36" s="38">
        <f t="shared" si="14"/>
        <v>63.777827748953172</v>
      </c>
    </row>
    <row r="37" spans="2:15" ht="15" thickBot="1" x14ac:dyDescent="0.35">
      <c r="O37" s="29"/>
    </row>
    <row r="38" spans="2:15" x14ac:dyDescent="0.3">
      <c r="B38" s="28" t="s">
        <v>118</v>
      </c>
      <c r="C38" s="55">
        <f>IFERROR('Historical FS'!C73/'Historical FS'!C6,0)</f>
        <v>0.2484897445729945</v>
      </c>
      <c r="D38" s="55">
        <f>IFERROR('Historical FS'!D73/'Historical FS'!D6,0)</f>
        <v>0.30310060498599045</v>
      </c>
      <c r="E38" s="55">
        <f>IFERROR('Historical FS'!E73/'Historical FS'!E6,0)</f>
        <v>0.26031277061157748</v>
      </c>
      <c r="F38" s="55">
        <f>IFERROR('Historical FS'!F73/'Historical FS'!F6,0)</f>
        <v>0.29743559631244221</v>
      </c>
      <c r="G38" s="55">
        <f>IFERROR('Historical FS'!G73/'Historical FS'!G6,0)</f>
        <v>0.25431625063822832</v>
      </c>
      <c r="H38" s="55">
        <f>IFERROR('Historical FS'!H73/'Historical FS'!H6,0)</f>
        <v>0.26013075538210034</v>
      </c>
      <c r="I38" s="55">
        <f>IFERROR('Historical FS'!I73/'Historical FS'!I6,0)</f>
        <v>0.26618454877343922</v>
      </c>
      <c r="J38" s="55">
        <f>IFERROR('Historical FS'!J73/'Historical FS'!J6,0)</f>
        <v>0.25288340065071013</v>
      </c>
      <c r="K38" s="55">
        <f>IFERROR('Historical FS'!K73/'Historical FS'!K6,0)</f>
        <v>0.23401830030373058</v>
      </c>
      <c r="L38" s="55">
        <f>IFERROR('Historical FS'!L73/'Historical FS'!L6,0)</f>
        <v>0.2341154378686521</v>
      </c>
      <c r="M38" s="28"/>
      <c r="N38" s="29">
        <f t="shared" ref="N38:N40" si="17">IFERROR(AVERAGE(C38:L38),0)</f>
        <v>0.26109874100998653</v>
      </c>
      <c r="O38" s="29">
        <f t="shared" ref="O38" si="18">IFERROR(MEDIAN(C38:M38),0)</f>
        <v>0.25722350301016433</v>
      </c>
    </row>
    <row r="39" spans="2:15" x14ac:dyDescent="0.3">
      <c r="B39" t="s">
        <v>119</v>
      </c>
      <c r="C39" s="56">
        <f>IFERROR('Historical FS'!C73/'Historical FS'!C67,0)</f>
        <v>0.1901185939040744</v>
      </c>
      <c r="D39" s="56">
        <f>IFERROR('Historical FS'!D73/'Historical FS'!D67,0)</f>
        <v>0.20500030510167355</v>
      </c>
      <c r="E39" s="56">
        <f>IFERROR('Historical FS'!E73/'Historical FS'!E67,0)</f>
        <v>0.17540533020793139</v>
      </c>
      <c r="F39" s="56">
        <f>IFERROR('Historical FS'!F73/'Historical FS'!F67,0)</f>
        <v>0.19000798724627557</v>
      </c>
      <c r="G39" s="56">
        <f>IFERROR('Historical FS'!G73/'Historical FS'!G67,0)</f>
        <v>0.16983244207353612</v>
      </c>
      <c r="H39" s="56">
        <f>IFERROR('Historical FS'!H73/'Historical FS'!H67,0)</f>
        <v>0.20435651993457693</v>
      </c>
      <c r="I39" s="56">
        <f>IFERROR('Historical FS'!I73/'Historical FS'!I67,0)</f>
        <v>0.21993870277112126</v>
      </c>
      <c r="J39" s="56">
        <f>IFERROR('Historical FS'!J73/'Historical FS'!J67,0)</f>
        <v>0.18722743005016568</v>
      </c>
      <c r="K39" s="56">
        <f>IFERROR('Historical FS'!K73/'Historical FS'!K67,0)</f>
        <v>0.2003011271245087</v>
      </c>
      <c r="L39" s="56">
        <f>IFERROR('Historical FS'!L73/'Historical FS'!L67,0)</f>
        <v>0.19718989888634006</v>
      </c>
      <c r="N39" s="30">
        <f t="shared" si="17"/>
        <v>0.19393783373002035</v>
      </c>
      <c r="O39" s="30">
        <f t="shared" si="5"/>
        <v>0.19365424639520723</v>
      </c>
    </row>
    <row r="40" spans="2:15" ht="15" thickBot="1" x14ac:dyDescent="0.35">
      <c r="B40" s="31" t="s">
        <v>120</v>
      </c>
      <c r="C40" s="57">
        <f>IFERROR('Historical FS'!C73/'Historical FS'!C52,0)</f>
        <v>232.44335083114609</v>
      </c>
      <c r="D40" s="57">
        <f>IFERROR('Historical FS'!D73/'Historical FS'!D52,0)</f>
        <v>366.63140311804005</v>
      </c>
      <c r="E40" s="57">
        <f>IFERROR('Historical FS'!E73/'Historical FS'!E52,0)</f>
        <v>936.265625</v>
      </c>
      <c r="F40" s="57">
        <f>IFERROR('Historical FS'!F73/'Historical FS'!F52,0)</f>
        <v>52.945251396648047</v>
      </c>
      <c r="G40" s="57">
        <f>IFERROR('Historical FS'!G73/'Historical FS'!G52,0)</f>
        <v>46.253996972270429</v>
      </c>
      <c r="H40" s="57">
        <f>IFERROR('Historical FS'!H73/'Historical FS'!H52,0)</f>
        <v>63.243705901218732</v>
      </c>
      <c r="I40" s="57">
        <f>IFERROR('Historical FS'!I73/'Historical FS'!I52,0)</f>
        <v>61.683276695856748</v>
      </c>
      <c r="J40" s="57">
        <f>IFERROR('Historical FS'!J73/'Historical FS'!J52,0)</f>
        <v>56.615562073624886</v>
      </c>
      <c r="K40" s="57">
        <f>IFERROR('Historical FS'!K73/'Historical FS'!K52,0)</f>
        <v>61.94925142334997</v>
      </c>
      <c r="L40" s="57">
        <f>IFERROR('Historical FS'!L73/'Historical FS'!L52,0)</f>
        <v>7.6964769534734447</v>
      </c>
      <c r="M40" s="31"/>
      <c r="N40" s="32">
        <f t="shared" si="17"/>
        <v>188.57279003656285</v>
      </c>
      <c r="O40" s="32">
        <f t="shared" si="5"/>
        <v>61.816264059603355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499CC0F6-D055-40B7-B1E6-2E1E9A5B90A1}">
          <x14:colorSeries theme="4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xr2:uid="{D65D47BB-DD1C-4DBB-BAD3-CB054CE6C798}">
          <x14:colorSeries theme="4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68F4-35F9-440F-B28A-35F728E0E20C}">
  <dimension ref="B2:O25"/>
  <sheetViews>
    <sheetView showGridLines="0" tabSelected="1" topLeftCell="A10" zoomScale="115" zoomScaleNormal="115" workbookViewId="0">
      <selection activeCell="E27" sqref="E27"/>
    </sheetView>
  </sheetViews>
  <sheetFormatPr defaultRowHeight="14.4" x14ac:dyDescent="0.3"/>
  <cols>
    <col min="1" max="1" width="1.88671875" customWidth="1"/>
    <col min="2" max="2" width="11.88671875" bestFit="1" customWidth="1"/>
    <col min="3" max="3" width="10.44140625" bestFit="1" customWidth="1"/>
    <col min="4" max="4" width="11.109375" bestFit="1" customWidth="1"/>
    <col min="5" max="5" width="12.109375" bestFit="1" customWidth="1"/>
    <col min="6" max="6" width="3.33203125" customWidth="1"/>
    <col min="7" max="7" width="11.88671875" bestFit="1" customWidth="1"/>
    <col min="8" max="8" width="7.21875" bestFit="1" customWidth="1"/>
    <col min="9" max="9" width="11.109375" bestFit="1" customWidth="1"/>
    <col min="10" max="10" width="12.33203125" bestFit="1" customWidth="1"/>
    <col min="11" max="11" width="3.21875" customWidth="1"/>
    <col min="12" max="12" width="11.88671875" bestFit="1" customWidth="1"/>
    <col min="13" max="13" width="6.88671875" bestFit="1" customWidth="1"/>
    <col min="14" max="14" width="16.6640625" bestFit="1" customWidth="1"/>
    <col min="15" max="15" width="22.6640625" customWidth="1"/>
  </cols>
  <sheetData>
    <row r="2" spans="2:15" x14ac:dyDescent="0.3">
      <c r="B2" s="71" t="str">
        <f>'Data Sheet'!$B$1&amp;" - " &amp; "Sales Forecasting"</f>
        <v>ITC LTD - Sales Forecasting</v>
      </c>
      <c r="C2" s="71"/>
      <c r="D2" s="71"/>
      <c r="E2" s="71"/>
      <c r="G2" s="71" t="str">
        <f>'Data Sheet'!$B$1&amp;" - " &amp; "EBIDTA Forecasting"</f>
        <v>ITC LTD - EBIDTA Forecasting</v>
      </c>
      <c r="H2" s="71"/>
      <c r="I2" s="71"/>
      <c r="J2" s="71"/>
      <c r="L2" s="71" t="str">
        <f>'Data Sheet'!$B$1&amp;" - "&amp;"EPS Forecasting"</f>
        <v>ITC LTD - EPS Forecasting</v>
      </c>
      <c r="M2" s="71"/>
      <c r="N2" s="71"/>
      <c r="O2" s="71"/>
    </row>
    <row r="3" spans="2:15" x14ac:dyDescent="0.3">
      <c r="B3" s="11" t="s">
        <v>126</v>
      </c>
      <c r="C3" s="11" t="s">
        <v>127</v>
      </c>
      <c r="D3" s="27" t="str">
        <f>'Historical FS'!B6</f>
        <v>Sales</v>
      </c>
      <c r="E3" s="11" t="s">
        <v>60</v>
      </c>
      <c r="G3" s="11" t="s">
        <v>126</v>
      </c>
      <c r="H3" s="11" t="s">
        <v>127</v>
      </c>
      <c r="I3" s="27" t="str">
        <f>'Historical FS'!B18</f>
        <v>EBITDA</v>
      </c>
      <c r="J3" s="11" t="s">
        <v>102</v>
      </c>
      <c r="L3" s="11" t="s">
        <v>126</v>
      </c>
      <c r="M3" s="11" t="s">
        <v>127</v>
      </c>
      <c r="N3" s="11" t="str">
        <f>'Historical FS'!B41</f>
        <v>Earnings per Share</v>
      </c>
      <c r="O3" s="11" t="str">
        <f>N3 &amp; " Growth"</f>
        <v>Earnings per Share Growth</v>
      </c>
    </row>
    <row r="4" spans="2:15" x14ac:dyDescent="0.3">
      <c r="B4">
        <v>1</v>
      </c>
      <c r="C4" s="62">
        <f>'Data Sheet'!$B$16</f>
        <v>42825</v>
      </c>
      <c r="D4" s="61" cm="1">
        <f t="array" ref="D4:D13">TRANSPOSE('Data Sheet'!B17:K17)</f>
        <v>42767.6</v>
      </c>
      <c r="G4">
        <v>1</v>
      </c>
      <c r="H4" s="62">
        <f>'Data Sheet'!$B$16</f>
        <v>42825</v>
      </c>
      <c r="I4" s="61" cm="1">
        <f t="array" ref="I4:I13">TRANSPOSE('Data Sheet'!B34:K34)</f>
        <v>17040.350000000002</v>
      </c>
      <c r="L4">
        <v>1</v>
      </c>
      <c r="M4" s="62">
        <f>'Data Sheet'!$B$16</f>
        <v>42825</v>
      </c>
      <c r="N4" s="61" cm="1">
        <f t="array" ref="N4:N13">TRANSPOSE('Historical FS'!C41:L41)</f>
        <v>7.1773383604722003</v>
      </c>
    </row>
    <row r="5" spans="2:15" x14ac:dyDescent="0.3">
      <c r="B5">
        <f>B4+1</f>
        <v>2</v>
      </c>
      <c r="C5" s="42">
        <f>C4+365</f>
        <v>43190</v>
      </c>
      <c r="D5" s="61">
        <v>43448.94</v>
      </c>
      <c r="E5" s="15">
        <f>D5/D4-1</f>
        <v>1.5931218960147486E-2</v>
      </c>
      <c r="G5">
        <f>G4+1</f>
        <v>2</v>
      </c>
      <c r="H5" s="42">
        <f>H4+365</f>
        <v>43190</v>
      </c>
      <c r="I5" s="61">
        <v>18538.919999999998</v>
      </c>
      <c r="J5" s="15">
        <f>I5/I4-1</f>
        <v>8.7942442496779405E-2</v>
      </c>
      <c r="L5">
        <f>L4+1</f>
        <v>2</v>
      </c>
      <c r="M5" s="42">
        <f>M4+365</f>
        <v>43190</v>
      </c>
      <c r="N5" s="61">
        <v>7.5816474521275303</v>
      </c>
      <c r="O5" s="15">
        <f>N5/N4-1</f>
        <v>5.633134058190481E-2</v>
      </c>
    </row>
    <row r="6" spans="2:15" x14ac:dyDescent="0.3">
      <c r="B6">
        <v>3</v>
      </c>
      <c r="C6" s="42">
        <f t="shared" ref="C6:C13" si="0">C5+365</f>
        <v>43555</v>
      </c>
      <c r="D6" s="61">
        <v>48339.58</v>
      </c>
      <c r="E6" s="15">
        <f t="shared" ref="E6:E18" si="1">D6/D5-1</f>
        <v>0.11256062863673999</v>
      </c>
      <c r="G6">
        <v>3</v>
      </c>
      <c r="H6" s="42">
        <f t="shared" ref="H6:H13" si="2">H5+365</f>
        <v>43555</v>
      </c>
      <c r="I6" s="61">
        <v>20374.260000000002</v>
      </c>
      <c r="J6" s="15">
        <f t="shared" ref="J6:J18" si="3">I6/I5-1</f>
        <v>9.8999294457282616E-2</v>
      </c>
      <c r="L6">
        <v>3</v>
      </c>
      <c r="M6" s="42">
        <f t="shared" ref="M6:M13" si="4">M5+365</f>
        <v>43555</v>
      </c>
      <c r="N6" s="61">
        <v>8.7738077757655866</v>
      </c>
      <c r="O6" s="15">
        <f t="shared" ref="O6:O18" si="5">N6/N5-1</f>
        <v>0.15724291206702268</v>
      </c>
    </row>
    <row r="7" spans="2:15" x14ac:dyDescent="0.3">
      <c r="B7">
        <v>4</v>
      </c>
      <c r="C7" s="42">
        <f t="shared" si="0"/>
        <v>43920</v>
      </c>
      <c r="D7" s="61">
        <v>49387.7</v>
      </c>
      <c r="E7" s="15">
        <f t="shared" si="1"/>
        <v>2.1682439110972673E-2</v>
      </c>
      <c r="G7">
        <v>4</v>
      </c>
      <c r="H7" s="42">
        <f t="shared" si="2"/>
        <v>43920</v>
      </c>
      <c r="I7" s="61">
        <v>21474.31</v>
      </c>
      <c r="J7" s="15">
        <f t="shared" si="3"/>
        <v>5.3992144990787416E-2</v>
      </c>
      <c r="L7">
        <v>4</v>
      </c>
      <c r="M7" s="42">
        <f t="shared" si="4"/>
        <v>43920</v>
      </c>
      <c r="N7" s="61">
        <v>10.718553228876848</v>
      </c>
      <c r="O7" s="15">
        <f t="shared" si="5"/>
        <v>0.22165352864042731</v>
      </c>
    </row>
    <row r="8" spans="2:15" x14ac:dyDescent="0.3">
      <c r="B8">
        <v>5</v>
      </c>
      <c r="C8" s="42">
        <f t="shared" si="0"/>
        <v>44285</v>
      </c>
      <c r="D8" s="61">
        <v>49257.45</v>
      </c>
      <c r="E8" s="15">
        <f t="shared" si="1"/>
        <v>-2.6372963308678443E-3</v>
      </c>
      <c r="G8">
        <v>5</v>
      </c>
      <c r="H8" s="42">
        <f t="shared" si="2"/>
        <v>44285</v>
      </c>
      <c r="I8" s="61">
        <v>19420.04</v>
      </c>
      <c r="J8" s="15">
        <f t="shared" si="3"/>
        <v>-9.5661746524102531E-2</v>
      </c>
      <c r="L8">
        <v>5</v>
      </c>
      <c r="M8" s="42">
        <f t="shared" si="4"/>
        <v>44285</v>
      </c>
      <c r="N8" s="61">
        <v>8.7790280124788769</v>
      </c>
      <c r="O8" s="15">
        <f t="shared" si="5"/>
        <v>-0.18095028078721465</v>
      </c>
    </row>
    <row r="9" spans="2:15" x14ac:dyDescent="0.3">
      <c r="B9">
        <v>6</v>
      </c>
      <c r="C9" s="42">
        <f t="shared" si="0"/>
        <v>44650</v>
      </c>
      <c r="D9" s="61">
        <v>60644.54</v>
      </c>
      <c r="E9" s="15">
        <f t="shared" si="1"/>
        <v>0.23117497962237188</v>
      </c>
      <c r="G9">
        <v>6</v>
      </c>
      <c r="H9" s="42">
        <f t="shared" si="2"/>
        <v>44650</v>
      </c>
      <c r="I9" s="61">
        <v>22272.400000000001</v>
      </c>
      <c r="J9" s="15">
        <f t="shared" si="3"/>
        <v>0.14687714340444202</v>
      </c>
      <c r="L9">
        <v>6</v>
      </c>
      <c r="M9" s="42">
        <f t="shared" si="4"/>
        <v>44650</v>
      </c>
      <c r="N9" s="61">
        <v>11.030657372619341</v>
      </c>
      <c r="O9" s="15">
        <f t="shared" si="5"/>
        <v>0.25647820657821163</v>
      </c>
    </row>
    <row r="10" spans="2:15" x14ac:dyDescent="0.3">
      <c r="B10">
        <v>7</v>
      </c>
      <c r="C10" s="42">
        <f t="shared" si="0"/>
        <v>45015</v>
      </c>
      <c r="D10" s="61">
        <v>70919.03</v>
      </c>
      <c r="E10" s="15">
        <f t="shared" si="1"/>
        <v>0.1694215175842706</v>
      </c>
      <c r="G10">
        <v>7</v>
      </c>
      <c r="H10" s="42">
        <f t="shared" si="2"/>
        <v>45015</v>
      </c>
      <c r="I10" s="61">
        <v>27516.839999999997</v>
      </c>
      <c r="J10" s="15">
        <f t="shared" si="3"/>
        <v>0.2354681130008438</v>
      </c>
      <c r="L10">
        <v>7</v>
      </c>
      <c r="M10" s="42">
        <f t="shared" si="4"/>
        <v>45015</v>
      </c>
      <c r="N10" s="61">
        <v>13.983810749919533</v>
      </c>
      <c r="O10" s="15">
        <f t="shared" si="5"/>
        <v>0.26772233762156428</v>
      </c>
    </row>
    <row r="11" spans="2:15" x14ac:dyDescent="0.3">
      <c r="B11">
        <v>8</v>
      </c>
      <c r="C11" s="42">
        <f t="shared" si="0"/>
        <v>45380</v>
      </c>
      <c r="D11" s="61">
        <v>67931.94</v>
      </c>
      <c r="E11" s="15">
        <f t="shared" si="1"/>
        <v>-4.2119724423754779E-2</v>
      </c>
      <c r="G11">
        <v>8</v>
      </c>
      <c r="H11" s="42">
        <f t="shared" si="2"/>
        <v>45380</v>
      </c>
      <c r="I11" s="61">
        <v>28225.399999999998</v>
      </c>
      <c r="J11" s="15">
        <f t="shared" si="3"/>
        <v>2.5750049787693685E-2</v>
      </c>
      <c r="L11">
        <v>8</v>
      </c>
      <c r="M11" s="42">
        <f t="shared" si="4"/>
        <v>45380</v>
      </c>
      <c r="N11" s="61">
        <v>13.953807460331445</v>
      </c>
      <c r="O11" s="15">
        <f t="shared" si="5"/>
        <v>-2.1455732006571138E-3</v>
      </c>
    </row>
    <row r="12" spans="2:15" x14ac:dyDescent="0.3">
      <c r="B12">
        <v>9</v>
      </c>
      <c r="C12" s="42">
        <f t="shared" si="0"/>
        <v>45745</v>
      </c>
      <c r="D12" s="61">
        <v>75323.34</v>
      </c>
      <c r="E12" s="15">
        <f t="shared" si="1"/>
        <v>0.10880596078957838</v>
      </c>
      <c r="G12">
        <v>9</v>
      </c>
      <c r="H12" s="42">
        <f t="shared" si="2"/>
        <v>45745</v>
      </c>
      <c r="I12" s="61">
        <v>43328.479999999996</v>
      </c>
      <c r="J12" s="15">
        <f t="shared" si="3"/>
        <v>0.53508825384228387</v>
      </c>
      <c r="L12">
        <v>9</v>
      </c>
      <c r="M12" s="42">
        <f t="shared" si="4"/>
        <v>45745</v>
      </c>
      <c r="N12" s="61">
        <v>13.784235382488548</v>
      </c>
      <c r="O12" s="15">
        <f t="shared" si="5"/>
        <v>-1.2152387678055931E-2</v>
      </c>
    </row>
    <row r="13" spans="2:15" x14ac:dyDescent="0.3">
      <c r="B13">
        <v>10</v>
      </c>
      <c r="C13" s="42">
        <f t="shared" si="0"/>
        <v>46110</v>
      </c>
      <c r="D13" s="61">
        <v>78868.399999999994</v>
      </c>
      <c r="E13" s="15">
        <f t="shared" si="1"/>
        <v>4.7064561927285808E-2</v>
      </c>
      <c r="G13">
        <v>10</v>
      </c>
      <c r="H13" s="42">
        <f t="shared" si="2"/>
        <v>46110</v>
      </c>
      <c r="I13" s="61">
        <v>29500.409999999996</v>
      </c>
      <c r="J13" s="15">
        <f t="shared" si="3"/>
        <v>-0.31914505193812481</v>
      </c>
      <c r="L13">
        <v>10</v>
      </c>
      <c r="M13" s="42">
        <f t="shared" si="4"/>
        <v>46110</v>
      </c>
      <c r="N13" s="61">
        <v>14.761211540763789</v>
      </c>
      <c r="O13" s="15">
        <f t="shared" si="5"/>
        <v>7.08763403384991E-2</v>
      </c>
    </row>
    <row r="14" spans="2:15" x14ac:dyDescent="0.3">
      <c r="B14" s="39">
        <v>11</v>
      </c>
      <c r="C14" s="43">
        <f>C13+365</f>
        <v>46475</v>
      </c>
      <c r="D14" s="40">
        <f>FORECAST(B14,$D$3:$D$13,$B$3:$B$13)</f>
        <v>82754.547999999995</v>
      </c>
      <c r="E14" s="41">
        <f t="shared" si="1"/>
        <v>4.927382830132232E-2</v>
      </c>
      <c r="G14" s="39">
        <v>11</v>
      </c>
      <c r="H14" s="43">
        <f>H13+365</f>
        <v>46475</v>
      </c>
      <c r="I14" s="40">
        <f>FORECAST(G14,$I$3:$I$13,$G$3:$G$13)</f>
        <v>36299.244666666666</v>
      </c>
      <c r="J14" s="41">
        <f t="shared" si="3"/>
        <v>0.23046576866784796</v>
      </c>
      <c r="L14" s="39">
        <v>11</v>
      </c>
      <c r="M14" s="43">
        <f>M13+365</f>
        <v>46475</v>
      </c>
      <c r="N14" s="40">
        <f>FORECAST(L14,$N$3:$N$13,$L$3:$L$13)</f>
        <v>16.041755549626011</v>
      </c>
      <c r="O14" s="41">
        <f>N14/N13-1</f>
        <v>8.6750603453242148E-2</v>
      </c>
    </row>
    <row r="15" spans="2:15" x14ac:dyDescent="0.3">
      <c r="B15" s="39">
        <v>12</v>
      </c>
      <c r="C15" s="43">
        <f t="shared" ref="C15:C18" si="6">C14+365</f>
        <v>46840</v>
      </c>
      <c r="D15" s="40">
        <f t="shared" ref="D15:D18" si="7">FORECAST(B15,$D$3:$D$13,$B$3:$B$13)</f>
        <v>87130.129090909089</v>
      </c>
      <c r="E15" s="41">
        <f t="shared" si="1"/>
        <v>5.2874206876329044E-2</v>
      </c>
      <c r="G15" s="39">
        <v>12</v>
      </c>
      <c r="H15" s="43">
        <f t="shared" ref="H15:H18" si="8">H14+365</f>
        <v>46840</v>
      </c>
      <c r="I15" s="40">
        <f t="shared" ref="I15:I18" si="9">FORECAST(G15,$I$3:$I$13,$G$3:$G$13)</f>
        <v>38395.627151515146</v>
      </c>
      <c r="J15" s="41">
        <f t="shared" si="3"/>
        <v>5.7752785329265421E-2</v>
      </c>
      <c r="L15" s="39">
        <v>12</v>
      </c>
      <c r="M15" s="43">
        <f t="shared" ref="M15:M18" si="10">M14+365</f>
        <v>46840</v>
      </c>
      <c r="N15" s="40">
        <f t="shared" ref="N15:N18" si="11">FORECAST(L15,$N$3:$N$13,$L$3:$L$13)</f>
        <v>16.948545697997218</v>
      </c>
      <c r="O15" s="41">
        <f t="shared" si="5"/>
        <v>5.6526864878722494E-2</v>
      </c>
    </row>
    <row r="16" spans="2:15" x14ac:dyDescent="0.3">
      <c r="B16" s="39">
        <v>13</v>
      </c>
      <c r="C16" s="43">
        <f t="shared" si="6"/>
        <v>47205</v>
      </c>
      <c r="D16" s="40">
        <f t="shared" si="7"/>
        <v>91505.710181818184</v>
      </c>
      <c r="E16" s="41">
        <f t="shared" si="1"/>
        <v>5.0218921245299031E-2</v>
      </c>
      <c r="G16" s="39">
        <v>13</v>
      </c>
      <c r="H16" s="43">
        <f t="shared" si="8"/>
        <v>47205</v>
      </c>
      <c r="I16" s="40">
        <f t="shared" si="9"/>
        <v>40492.009636363633</v>
      </c>
      <c r="J16" s="41">
        <f t="shared" si="3"/>
        <v>5.4599511464569428E-2</v>
      </c>
      <c r="L16" s="39">
        <v>13</v>
      </c>
      <c r="M16" s="43">
        <f t="shared" si="10"/>
        <v>47205</v>
      </c>
      <c r="N16" s="40">
        <f t="shared" si="11"/>
        <v>17.855335846368426</v>
      </c>
      <c r="O16" s="41">
        <f t="shared" si="5"/>
        <v>5.3502534348912389E-2</v>
      </c>
    </row>
    <row r="17" spans="2:15" x14ac:dyDescent="0.3">
      <c r="B17" s="39">
        <v>14</v>
      </c>
      <c r="C17" s="43">
        <f t="shared" si="6"/>
        <v>47570</v>
      </c>
      <c r="D17" s="40">
        <f t="shared" si="7"/>
        <v>95881.291272727278</v>
      </c>
      <c r="E17" s="41">
        <f t="shared" si="1"/>
        <v>4.7817574249901851E-2</v>
      </c>
      <c r="G17" s="39">
        <v>14</v>
      </c>
      <c r="H17" s="43">
        <f t="shared" si="8"/>
        <v>47570</v>
      </c>
      <c r="I17" s="40">
        <f t="shared" si="9"/>
        <v>42588.39212121212</v>
      </c>
      <c r="J17" s="41">
        <f t="shared" si="3"/>
        <v>5.1772744886582345E-2</v>
      </c>
      <c r="L17" s="39">
        <v>14</v>
      </c>
      <c r="M17" s="43">
        <f t="shared" si="10"/>
        <v>47570</v>
      </c>
      <c r="N17" s="40">
        <f t="shared" si="11"/>
        <v>18.762125994739634</v>
      </c>
      <c r="O17" s="41">
        <f t="shared" si="5"/>
        <v>5.0785387414353123E-2</v>
      </c>
    </row>
    <row r="18" spans="2:15" x14ac:dyDescent="0.3">
      <c r="B18" s="39">
        <v>15</v>
      </c>
      <c r="C18" s="43">
        <f t="shared" si="6"/>
        <v>47935</v>
      </c>
      <c r="D18" s="40">
        <f t="shared" si="7"/>
        <v>100256.87236363636</v>
      </c>
      <c r="E18" s="41">
        <f t="shared" si="1"/>
        <v>4.5635400116411207E-2</v>
      </c>
      <c r="G18" s="39">
        <v>15</v>
      </c>
      <c r="H18" s="43">
        <f t="shared" si="8"/>
        <v>47935</v>
      </c>
      <c r="I18" s="40">
        <f t="shared" si="9"/>
        <v>44684.7746060606</v>
      </c>
      <c r="J18" s="41">
        <f t="shared" si="3"/>
        <v>4.9224269347429184E-2</v>
      </c>
      <c r="L18" s="39">
        <v>15</v>
      </c>
      <c r="M18" s="43">
        <f t="shared" si="10"/>
        <v>47935</v>
      </c>
      <c r="N18" s="40">
        <f t="shared" si="11"/>
        <v>19.668916143110842</v>
      </c>
      <c r="O18" s="41">
        <f t="shared" si="5"/>
        <v>4.8330884710263922E-2</v>
      </c>
    </row>
    <row r="20" spans="2:15" x14ac:dyDescent="0.3">
      <c r="B20" s="11" t="s">
        <v>131</v>
      </c>
      <c r="C20" s="11" t="s">
        <v>132</v>
      </c>
      <c r="D20" s="27" t="s">
        <v>133</v>
      </c>
      <c r="E20" s="11" t="s">
        <v>134</v>
      </c>
    </row>
    <row r="21" spans="2:15" x14ac:dyDescent="0.3">
      <c r="B21" s="14" t="s">
        <v>12</v>
      </c>
      <c r="C21" s="76">
        <f>D4</f>
        <v>42767.6</v>
      </c>
      <c r="D21" s="76">
        <f>D13</f>
        <v>78868.399999999994</v>
      </c>
      <c r="E21" s="79">
        <f>(D21/C21)^(1/9)-1</f>
        <v>7.0365288747297194E-2</v>
      </c>
      <c r="F21" s="77"/>
    </row>
    <row r="22" spans="2:15" x14ac:dyDescent="0.3">
      <c r="B22" s="14" t="s">
        <v>28</v>
      </c>
      <c r="C22" s="76">
        <f>I4</f>
        <v>17040.350000000002</v>
      </c>
      <c r="D22" s="76">
        <f>I13</f>
        <v>29500.409999999996</v>
      </c>
      <c r="E22" s="79">
        <f t="shared" ref="E22:E25" si="12">(D22/C22)^(1/9)-1</f>
        <v>6.287766828532404E-2</v>
      </c>
      <c r="F22" s="77"/>
    </row>
    <row r="23" spans="2:15" x14ac:dyDescent="0.3">
      <c r="B23" s="14" t="s">
        <v>124</v>
      </c>
      <c r="C23">
        <f>'Historical FS'!C27</f>
        <v>14316.720000000001</v>
      </c>
      <c r="D23" s="76">
        <f>'Historical FS'!L27</f>
        <v>25595.469999999994</v>
      </c>
      <c r="E23" s="79">
        <f t="shared" si="12"/>
        <v>6.6683331383175171E-2</v>
      </c>
      <c r="F23" s="77"/>
    </row>
    <row r="24" spans="2:15" x14ac:dyDescent="0.3">
      <c r="B24" s="14" t="s">
        <v>73</v>
      </c>
      <c r="C24" s="76">
        <f>'Historical FS'!C36</f>
        <v>8718.6</v>
      </c>
      <c r="D24" s="76">
        <f>'Historical FS'!L36</f>
        <v>18495.05999999999</v>
      </c>
      <c r="E24" s="79">
        <f t="shared" si="12"/>
        <v>8.7151045710306851E-2</v>
      </c>
      <c r="F24" s="77"/>
    </row>
    <row r="25" spans="2:15" x14ac:dyDescent="0.3">
      <c r="B25" s="14" t="s">
        <v>135</v>
      </c>
      <c r="C25" s="78">
        <f>N4</f>
        <v>7.1773383604722003</v>
      </c>
      <c r="D25" s="78">
        <f>N13</f>
        <v>14.761211540763789</v>
      </c>
      <c r="E25" s="79">
        <f t="shared" si="12"/>
        <v>8.341638208130342E-2</v>
      </c>
      <c r="F25" s="77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L93"/>
  <sheetViews>
    <sheetView zoomScale="130" zoomScaleNormal="13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18" sqref="B18"/>
    </sheetView>
  </sheetViews>
  <sheetFormatPr defaultColWidth="10.44140625" defaultRowHeight="13.2" x14ac:dyDescent="0.25"/>
  <cols>
    <col min="1" max="1" width="26.6640625" style="2" bestFit="1" customWidth="1"/>
    <col min="2" max="11" width="11.88671875" style="2" bestFit="1" customWidth="1"/>
    <col min="12" max="16384" width="10.44140625" style="2"/>
  </cols>
  <sheetData>
    <row r="1" spans="1:11" s="1" customFormat="1" x14ac:dyDescent="0.25">
      <c r="A1" s="1" t="s">
        <v>0</v>
      </c>
      <c r="B1" s="1" t="s">
        <v>1</v>
      </c>
      <c r="E1" s="74"/>
      <c r="F1" s="74"/>
      <c r="G1" s="74"/>
      <c r="H1" s="74"/>
      <c r="I1" s="74"/>
      <c r="J1" s="74"/>
      <c r="K1" s="74"/>
    </row>
    <row r="2" spans="1:11" x14ac:dyDescent="0.25">
      <c r="A2" s="1" t="s">
        <v>2</v>
      </c>
      <c r="B2" s="2">
        <v>2.1</v>
      </c>
      <c r="E2" s="75" t="s">
        <v>3</v>
      </c>
      <c r="F2" s="75"/>
      <c r="G2" s="75"/>
      <c r="H2" s="75"/>
      <c r="I2" s="75"/>
      <c r="J2" s="75"/>
      <c r="K2" s="75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1251.1205947955391</v>
      </c>
    </row>
    <row r="7" spans="1:11" x14ac:dyDescent="0.25">
      <c r="A7" s="2" t="s">
        <v>7</v>
      </c>
      <c r="B7" s="3">
        <v>1</v>
      </c>
    </row>
    <row r="8" spans="1:11" x14ac:dyDescent="0.25">
      <c r="A8" s="2" t="s">
        <v>8</v>
      </c>
      <c r="B8" s="3">
        <v>269</v>
      </c>
    </row>
    <row r="9" spans="1:11" x14ac:dyDescent="0.25">
      <c r="A9" s="2" t="s">
        <v>9</v>
      </c>
      <c r="B9" s="3">
        <v>336551.44</v>
      </c>
    </row>
    <row r="15" spans="1:11" x14ac:dyDescent="0.25">
      <c r="A15" s="1" t="s">
        <v>10</v>
      </c>
      <c r="B15" s="2">
        <f>B26+B34</f>
        <v>18193.140000000003</v>
      </c>
      <c r="K15" s="2">
        <f>K17-K18-K20-K21-K22-K23-K19</f>
        <v>24529.959999999995</v>
      </c>
    </row>
    <row r="16" spans="1:11" s="6" customFormat="1" x14ac:dyDescent="0.25">
      <c r="A16" s="4" t="s">
        <v>11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x14ac:dyDescent="0.25">
      <c r="A17" s="2" t="s">
        <v>12</v>
      </c>
      <c r="B17" s="3">
        <v>42767.6</v>
      </c>
      <c r="C17" s="3">
        <v>43448.94</v>
      </c>
      <c r="D17" s="3">
        <v>48339.58</v>
      </c>
      <c r="E17" s="3">
        <v>49387.7</v>
      </c>
      <c r="F17" s="3">
        <v>49257.45</v>
      </c>
      <c r="G17" s="3">
        <v>60644.54</v>
      </c>
      <c r="H17" s="3">
        <v>70919.03</v>
      </c>
      <c r="I17" s="3">
        <v>67931.94</v>
      </c>
      <c r="J17" s="3">
        <v>75323.34</v>
      </c>
      <c r="K17" s="3">
        <v>78868.399999999994</v>
      </c>
    </row>
    <row r="18" spans="1:11" ht="14.4" x14ac:dyDescent="0.3">
      <c r="A18" s="2" t="s">
        <v>13</v>
      </c>
      <c r="B18" s="7">
        <v>15456.59</v>
      </c>
      <c r="C18" s="7">
        <v>14827.72</v>
      </c>
      <c r="D18" s="7">
        <v>17623.52</v>
      </c>
      <c r="E18" s="7">
        <v>18048.599999999999</v>
      </c>
      <c r="F18" s="7">
        <v>20776.71</v>
      </c>
      <c r="G18" s="7">
        <v>27071.07</v>
      </c>
      <c r="H18" s="7">
        <v>29364.36</v>
      </c>
      <c r="I18" s="7">
        <v>27348.57</v>
      </c>
      <c r="J18" s="7">
        <v>32704.37</v>
      </c>
      <c r="K18" s="7">
        <v>35098.339999999997</v>
      </c>
    </row>
    <row r="19" spans="1:11" ht="14.4" x14ac:dyDescent="0.3">
      <c r="A19" s="2" t="s">
        <v>14</v>
      </c>
      <c r="B19" s="7">
        <v>-592.57000000000005</v>
      </c>
      <c r="C19" s="7">
        <v>-1027.76</v>
      </c>
      <c r="D19" s="7">
        <v>203.19</v>
      </c>
      <c r="E19" s="7">
        <v>703.13</v>
      </c>
      <c r="F19" s="7">
        <v>645.27</v>
      </c>
      <c r="G19" s="7">
        <v>686</v>
      </c>
      <c r="H19" s="7">
        <v>358.59</v>
      </c>
      <c r="I19" s="7">
        <v>367.77</v>
      </c>
      <c r="J19" s="7">
        <v>725.65</v>
      </c>
      <c r="K19" s="7">
        <v>2550.46</v>
      </c>
    </row>
    <row r="20" spans="1:11" x14ac:dyDescent="0.25">
      <c r="A20" s="2" t="s">
        <v>15</v>
      </c>
      <c r="B20" s="3">
        <v>584.33000000000004</v>
      </c>
      <c r="C20" s="3">
        <v>653.5</v>
      </c>
      <c r="D20" s="3">
        <v>746.73</v>
      </c>
      <c r="E20" s="3">
        <v>780.85</v>
      </c>
      <c r="F20" s="3">
        <v>699.56</v>
      </c>
      <c r="G20" s="3">
        <v>889.77</v>
      </c>
      <c r="H20" s="3">
        <v>1232.3399999999999</v>
      </c>
      <c r="I20" s="3">
        <v>952.9</v>
      </c>
      <c r="J20" s="3">
        <v>975.35</v>
      </c>
      <c r="K20" s="3">
        <v>947.71</v>
      </c>
    </row>
    <row r="21" spans="1:11" x14ac:dyDescent="0.25">
      <c r="A21" s="2" t="s">
        <v>16</v>
      </c>
      <c r="B21" s="3">
        <v>1683.9</v>
      </c>
      <c r="C21" s="3">
        <v>1697.62</v>
      </c>
      <c r="D21" s="3">
        <v>1871.01</v>
      </c>
      <c r="E21" s="3">
        <v>1908.29</v>
      </c>
      <c r="F21" s="3">
        <v>1587.18</v>
      </c>
      <c r="G21" s="3">
        <v>1887.67</v>
      </c>
      <c r="H21" s="3">
        <v>2327.8000000000002</v>
      </c>
      <c r="I21" s="3">
        <v>2183.7600000000002</v>
      </c>
      <c r="J21" s="3">
        <v>2345.36</v>
      </c>
      <c r="K21" s="3">
        <v>2582.48</v>
      </c>
    </row>
    <row r="22" spans="1:11" x14ac:dyDescent="0.25">
      <c r="A22" s="2" t="s">
        <v>17</v>
      </c>
      <c r="B22" s="3">
        <v>3631.73</v>
      </c>
      <c r="C22" s="3">
        <v>3760.9</v>
      </c>
      <c r="D22" s="3">
        <v>4177.88</v>
      </c>
      <c r="E22" s="3">
        <v>4295.79</v>
      </c>
      <c r="F22" s="3">
        <v>4463.33</v>
      </c>
      <c r="G22" s="3">
        <v>4890.55</v>
      </c>
      <c r="H22" s="3">
        <v>5736.22</v>
      </c>
      <c r="I22" s="3">
        <v>5548.53</v>
      </c>
      <c r="J22" s="3">
        <v>6169.78</v>
      </c>
      <c r="K22" s="3">
        <v>6781.5</v>
      </c>
    </row>
    <row r="23" spans="1:11" x14ac:dyDescent="0.25">
      <c r="A23" s="2" t="s">
        <v>18</v>
      </c>
      <c r="B23" s="3">
        <v>4179.74</v>
      </c>
      <c r="C23" s="3">
        <v>3954.87</v>
      </c>
      <c r="D23" s="3">
        <v>4546.3900000000003</v>
      </c>
      <c r="E23" s="3">
        <v>4488.63</v>
      </c>
      <c r="F23" s="3">
        <v>4236.7700000000004</v>
      </c>
      <c r="G23" s="3">
        <v>4858.38</v>
      </c>
      <c r="H23" s="3">
        <v>5604.08</v>
      </c>
      <c r="I23" s="3">
        <v>5312.45</v>
      </c>
      <c r="J23" s="3">
        <v>5793.29</v>
      </c>
      <c r="K23" s="3">
        <v>6377.95</v>
      </c>
    </row>
    <row r="24" spans="1:11" x14ac:dyDescent="0.25">
      <c r="A24" s="2" t="s">
        <v>19</v>
      </c>
      <c r="B24" s="3">
        <v>1169.23</v>
      </c>
      <c r="C24" s="3">
        <v>1005.98</v>
      </c>
      <c r="D24" s="3">
        <v>1039.8499999999999</v>
      </c>
      <c r="E24" s="3">
        <v>1225.1300000000001</v>
      </c>
      <c r="F24" s="3">
        <v>1074.3900000000001</v>
      </c>
      <c r="G24" s="3">
        <v>1109.95</v>
      </c>
      <c r="H24" s="3">
        <v>1308.56</v>
      </c>
      <c r="I24" s="3">
        <v>1765.97</v>
      </c>
      <c r="J24" s="3">
        <v>2229.2600000000002</v>
      </c>
      <c r="K24" s="3">
        <v>2324.88</v>
      </c>
    </row>
    <row r="25" spans="1:11" x14ac:dyDescent="0.25">
      <c r="A25" s="2" t="s">
        <v>20</v>
      </c>
      <c r="B25" s="3">
        <v>1758.63</v>
      </c>
      <c r="C25" s="3">
        <v>2239.81</v>
      </c>
      <c r="D25" s="3">
        <v>2080.44</v>
      </c>
      <c r="E25" s="3">
        <v>2417.3200000000002</v>
      </c>
      <c r="F25" s="3">
        <v>2576.9499999999998</v>
      </c>
      <c r="G25" s="3">
        <v>1909.72</v>
      </c>
      <c r="H25" s="3">
        <v>2097.64</v>
      </c>
      <c r="I25" s="3">
        <v>3330.45</v>
      </c>
      <c r="J25" s="3">
        <v>17802.75</v>
      </c>
      <c r="K25" s="3">
        <v>2523.09</v>
      </c>
    </row>
    <row r="26" spans="1:11" x14ac:dyDescent="0.25">
      <c r="A26" s="2" t="s">
        <v>21</v>
      </c>
      <c r="B26" s="3">
        <v>1152.79</v>
      </c>
      <c r="C26" s="3">
        <v>1236.28</v>
      </c>
      <c r="D26" s="3">
        <v>1396.61</v>
      </c>
      <c r="E26" s="3">
        <v>1644.91</v>
      </c>
      <c r="F26" s="3">
        <v>1645.59</v>
      </c>
      <c r="G26" s="3">
        <v>1732.41</v>
      </c>
      <c r="H26" s="3">
        <v>1809.01</v>
      </c>
      <c r="I26" s="3">
        <v>1518.05</v>
      </c>
      <c r="J26" s="3">
        <v>1646.32</v>
      </c>
      <c r="K26" s="3">
        <v>1710.53</v>
      </c>
    </row>
    <row r="27" spans="1:11" ht="14.4" x14ac:dyDescent="0.3">
      <c r="A27" s="2" t="s">
        <v>22</v>
      </c>
      <c r="B27" s="3">
        <v>49.03</v>
      </c>
      <c r="C27" s="3">
        <v>115.01</v>
      </c>
      <c r="D27" s="3">
        <v>71.400000000000006</v>
      </c>
      <c r="E27" s="3">
        <v>81.38</v>
      </c>
      <c r="F27" s="3">
        <v>57.97</v>
      </c>
      <c r="G27" s="3">
        <v>59.99</v>
      </c>
      <c r="H27" s="3">
        <v>77.77</v>
      </c>
      <c r="I27" s="3">
        <v>39.11</v>
      </c>
      <c r="J27" s="7">
        <v>45.06</v>
      </c>
      <c r="K27" s="7">
        <v>85.17</v>
      </c>
    </row>
    <row r="28" spans="1:11" x14ac:dyDescent="0.25">
      <c r="A28" s="2" t="s">
        <v>23</v>
      </c>
      <c r="B28" s="3">
        <v>16026.32</v>
      </c>
      <c r="C28" s="3">
        <v>17409.11</v>
      </c>
      <c r="D28" s="3">
        <v>19149.82</v>
      </c>
      <c r="E28" s="3">
        <v>20034.57</v>
      </c>
      <c r="F28" s="3">
        <v>17938.169999999998</v>
      </c>
      <c r="G28" s="3">
        <v>20740.47</v>
      </c>
      <c r="H28" s="3">
        <v>25915.119999999999</v>
      </c>
      <c r="I28" s="3">
        <v>26960.82</v>
      </c>
      <c r="J28" s="3">
        <v>41942.949999999997</v>
      </c>
      <c r="K28" s="3">
        <v>28033.39</v>
      </c>
    </row>
    <row r="29" spans="1:11" x14ac:dyDescent="0.25">
      <c r="A29" s="2" t="s">
        <v>24</v>
      </c>
      <c r="B29" s="3">
        <v>5549.09</v>
      </c>
      <c r="C29" s="3">
        <v>5916.43</v>
      </c>
      <c r="D29" s="3">
        <v>6313.92</v>
      </c>
      <c r="E29" s="3">
        <v>4441.79</v>
      </c>
      <c r="F29" s="3">
        <v>4555.29</v>
      </c>
      <c r="G29" s="3">
        <v>5237.34</v>
      </c>
      <c r="H29" s="3">
        <v>6438.4</v>
      </c>
      <c r="I29" s="3">
        <v>6209.46</v>
      </c>
      <c r="J29" s="3">
        <v>6890.47</v>
      </c>
      <c r="K29" s="3">
        <v>7015.24</v>
      </c>
    </row>
    <row r="30" spans="1:11" x14ac:dyDescent="0.25">
      <c r="A30" s="2" t="s">
        <v>25</v>
      </c>
      <c r="B30" s="3">
        <v>10289.44</v>
      </c>
      <c r="C30" s="3">
        <v>11271.2</v>
      </c>
      <c r="D30" s="3">
        <v>12592.33</v>
      </c>
      <c r="E30" s="3">
        <v>15306.23</v>
      </c>
      <c r="F30" s="3">
        <v>13161.19</v>
      </c>
      <c r="G30" s="3">
        <v>15242.66</v>
      </c>
      <c r="H30" s="3">
        <v>19191.66</v>
      </c>
      <c r="I30" s="3">
        <v>20458.78</v>
      </c>
      <c r="J30" s="3">
        <v>34746.629999999997</v>
      </c>
      <c r="K30" s="3">
        <v>20689.47</v>
      </c>
    </row>
    <row r="31" spans="1:11" x14ac:dyDescent="0.25">
      <c r="A31" s="2" t="s">
        <v>26</v>
      </c>
      <c r="B31" s="3">
        <v>5770.02</v>
      </c>
      <c r="C31" s="3">
        <v>6285.21</v>
      </c>
      <c r="D31" s="3">
        <v>7048.7</v>
      </c>
      <c r="E31" s="3">
        <v>12476.58</v>
      </c>
      <c r="F31" s="3">
        <v>13231.96</v>
      </c>
      <c r="G31" s="3">
        <v>14171.8</v>
      </c>
      <c r="H31" s="3">
        <v>19263.400000000001</v>
      </c>
      <c r="I31" s="3">
        <v>17166.46</v>
      </c>
      <c r="J31" s="3">
        <v>17957.73</v>
      </c>
      <c r="K31" s="3">
        <v>18167.78</v>
      </c>
    </row>
    <row r="32" spans="1:11" x14ac:dyDescent="0.25">
      <c r="A32" s="2" t="s">
        <v>27</v>
      </c>
      <c r="B32" s="8">
        <f>B29/B28</f>
        <v>0.34624854614159711</v>
      </c>
      <c r="C32" s="8">
        <f t="shared" ref="C32:K32" si="0">C29/C28</f>
        <v>0.33984678136906482</v>
      </c>
      <c r="D32" s="8">
        <f t="shared" si="0"/>
        <v>0.32971171530594023</v>
      </c>
      <c r="E32" s="8">
        <f t="shared" si="0"/>
        <v>0.22170628069382073</v>
      </c>
      <c r="F32" s="8">
        <f t="shared" si="0"/>
        <v>0.25394396418363746</v>
      </c>
      <c r="G32" s="8">
        <f t="shared" si="0"/>
        <v>0.25251790340334618</v>
      </c>
      <c r="H32" s="8">
        <f t="shared" si="0"/>
        <v>0.24844183627164373</v>
      </c>
      <c r="I32" s="8">
        <f t="shared" si="0"/>
        <v>0.23031421151137094</v>
      </c>
      <c r="J32" s="8">
        <f t="shared" si="0"/>
        <v>0.16428195918503588</v>
      </c>
      <c r="K32" s="8">
        <f t="shared" si="0"/>
        <v>0.25024586751727135</v>
      </c>
    </row>
    <row r="34" spans="1:11" x14ac:dyDescent="0.25">
      <c r="A34" s="2" t="s">
        <v>28</v>
      </c>
      <c r="B34" s="2">
        <f>+B30+B29+B27+B26</f>
        <v>17040.350000000002</v>
      </c>
      <c r="C34" s="2">
        <f t="shared" ref="C34:K34" si="1">+C30+C29+C27+C26</f>
        <v>18538.919999999998</v>
      </c>
      <c r="D34" s="2">
        <f t="shared" si="1"/>
        <v>20374.260000000002</v>
      </c>
      <c r="E34" s="2">
        <f t="shared" si="1"/>
        <v>21474.31</v>
      </c>
      <c r="F34" s="2">
        <f t="shared" si="1"/>
        <v>19420.04</v>
      </c>
      <c r="G34" s="2">
        <f t="shared" si="1"/>
        <v>22272.400000000001</v>
      </c>
      <c r="H34" s="2">
        <f t="shared" si="1"/>
        <v>27516.839999999997</v>
      </c>
      <c r="I34" s="2">
        <f t="shared" si="1"/>
        <v>28225.399999999998</v>
      </c>
      <c r="J34" s="2">
        <f t="shared" si="1"/>
        <v>43328.479999999996</v>
      </c>
      <c r="K34" s="2">
        <f t="shared" si="1"/>
        <v>29500.409999999996</v>
      </c>
    </row>
    <row r="40" spans="1:11" x14ac:dyDescent="0.25">
      <c r="A40" s="1" t="s">
        <v>29</v>
      </c>
    </row>
    <row r="41" spans="1:11" s="6" customFormat="1" x14ac:dyDescent="0.25">
      <c r="A41" s="4" t="s">
        <v>11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x14ac:dyDescent="0.25">
      <c r="A42" s="2" t="s">
        <v>12</v>
      </c>
      <c r="B42" s="3">
        <v>17037.8</v>
      </c>
      <c r="C42" s="3">
        <v>17777.810000000001</v>
      </c>
      <c r="D42" s="3">
        <v>19990.36</v>
      </c>
      <c r="E42" s="3">
        <v>18790.169999999998</v>
      </c>
      <c r="F42" s="3">
        <v>18765</v>
      </c>
      <c r="G42" s="3">
        <v>21494.79</v>
      </c>
      <c r="H42" s="3">
        <v>19501.63</v>
      </c>
      <c r="I42" s="3">
        <v>20047.3</v>
      </c>
      <c r="J42" s="3">
        <v>17824.68</v>
      </c>
      <c r="K42" s="3">
        <v>19114.37</v>
      </c>
    </row>
    <row r="43" spans="1:11" x14ac:dyDescent="0.25">
      <c r="A43" s="2" t="s">
        <v>30</v>
      </c>
      <c r="B43" s="3">
        <v>10735.73</v>
      </c>
      <c r="C43" s="3">
        <v>11232.97</v>
      </c>
      <c r="D43" s="3">
        <v>13438.28</v>
      </c>
      <c r="E43" s="3">
        <v>12428.27</v>
      </c>
      <c r="F43" s="3">
        <v>12245.61</v>
      </c>
      <c r="G43" s="3">
        <v>14678.32</v>
      </c>
      <c r="H43" s="3">
        <v>12806.94</v>
      </c>
      <c r="I43" s="3">
        <v>13164.78</v>
      </c>
      <c r="J43" s="3">
        <v>10900.45</v>
      </c>
      <c r="K43" s="3">
        <v>13933.51</v>
      </c>
    </row>
    <row r="44" spans="1:11" x14ac:dyDescent="0.25">
      <c r="A44" s="2" t="s">
        <v>20</v>
      </c>
      <c r="B44" s="3">
        <v>868</v>
      </c>
      <c r="C44" s="3">
        <v>771.13</v>
      </c>
      <c r="D44" s="3">
        <v>690.31</v>
      </c>
      <c r="E44" s="3">
        <v>803.4</v>
      </c>
      <c r="F44" s="3">
        <v>15391.28</v>
      </c>
      <c r="G44" s="3">
        <v>750.97</v>
      </c>
      <c r="H44" s="3">
        <v>738.84</v>
      </c>
      <c r="I44" s="3">
        <v>321.85000000000002</v>
      </c>
      <c r="J44" s="3">
        <v>699.52</v>
      </c>
      <c r="K44" s="3">
        <v>1147.5</v>
      </c>
    </row>
    <row r="45" spans="1:11" x14ac:dyDescent="0.25">
      <c r="A45" s="2" t="s">
        <v>21</v>
      </c>
      <c r="B45" s="3">
        <v>385.09</v>
      </c>
      <c r="C45" s="3">
        <v>403.13</v>
      </c>
      <c r="D45" s="3">
        <v>416.18</v>
      </c>
      <c r="E45" s="3">
        <v>415.98</v>
      </c>
      <c r="F45" s="3">
        <v>411.03</v>
      </c>
      <c r="G45" s="3">
        <v>422.96</v>
      </c>
      <c r="H45" s="3">
        <v>434.8</v>
      </c>
      <c r="I45" s="3">
        <v>430.82</v>
      </c>
      <c r="J45" s="3">
        <v>421.95</v>
      </c>
      <c r="K45" s="3">
        <v>427.73</v>
      </c>
    </row>
    <row r="46" spans="1:11" ht="14.4" x14ac:dyDescent="0.3">
      <c r="A46" s="2" t="s">
        <v>22</v>
      </c>
      <c r="B46" s="7">
        <v>10.72</v>
      </c>
      <c r="C46" s="7">
        <v>9.6</v>
      </c>
      <c r="D46" s="7">
        <v>14.73</v>
      </c>
      <c r="E46" s="7">
        <v>9.82</v>
      </c>
      <c r="F46" s="7">
        <v>10.91</v>
      </c>
      <c r="G46" s="7">
        <v>16.47</v>
      </c>
      <c r="H46" s="7">
        <v>20.05</v>
      </c>
      <c r="I46" s="7">
        <v>19.47</v>
      </c>
      <c r="J46" s="7">
        <v>29.18</v>
      </c>
      <c r="K46" s="7">
        <v>39.78</v>
      </c>
    </row>
    <row r="47" spans="1:11" x14ac:dyDescent="0.25">
      <c r="A47" s="2" t="s">
        <v>23</v>
      </c>
      <c r="B47" s="3">
        <v>6774.26</v>
      </c>
      <c r="C47" s="3">
        <v>6903.24</v>
      </c>
      <c r="D47" s="3">
        <v>6811.48</v>
      </c>
      <c r="E47" s="3">
        <v>6739.5</v>
      </c>
      <c r="F47" s="3">
        <v>21488.73</v>
      </c>
      <c r="G47" s="3">
        <v>7128.01</v>
      </c>
      <c r="H47" s="3">
        <v>6978.68</v>
      </c>
      <c r="I47" s="3">
        <v>6754.08</v>
      </c>
      <c r="J47" s="3">
        <v>7172.62</v>
      </c>
      <c r="K47" s="3">
        <v>5860.85</v>
      </c>
    </row>
    <row r="48" spans="1:11" x14ac:dyDescent="0.25">
      <c r="A48" s="2" t="s">
        <v>24</v>
      </c>
      <c r="B48" s="3">
        <v>1583.55</v>
      </c>
      <c r="C48" s="3">
        <v>1726.25</v>
      </c>
      <c r="D48" s="3">
        <v>1757.05</v>
      </c>
      <c r="E48" s="3">
        <v>1726.32</v>
      </c>
      <c r="F48" s="3">
        <v>1680.85</v>
      </c>
      <c r="G48" s="3">
        <v>1784.6</v>
      </c>
      <c r="H48" s="3">
        <v>1792.13</v>
      </c>
      <c r="I48" s="3">
        <v>1735.63</v>
      </c>
      <c r="J48" s="3">
        <v>1702.88</v>
      </c>
      <c r="K48" s="3">
        <v>1352.06</v>
      </c>
    </row>
    <row r="49" spans="1:11" x14ac:dyDescent="0.25">
      <c r="A49" s="2" t="s">
        <v>25</v>
      </c>
      <c r="B49" s="3">
        <v>5120.55</v>
      </c>
      <c r="C49" s="3">
        <v>5091.59</v>
      </c>
      <c r="D49" s="3">
        <v>4992.87</v>
      </c>
      <c r="E49" s="3">
        <v>4934.8</v>
      </c>
      <c r="F49" s="3">
        <v>19727.37</v>
      </c>
      <c r="G49" s="3">
        <v>5244.2</v>
      </c>
      <c r="H49" s="3">
        <v>5126.1099999999997</v>
      </c>
      <c r="I49" s="3">
        <v>4931.1899999999996</v>
      </c>
      <c r="J49" s="3">
        <v>5387.97</v>
      </c>
      <c r="K49" s="3">
        <v>4394.13</v>
      </c>
    </row>
    <row r="50" spans="1:11" x14ac:dyDescent="0.25">
      <c r="A50" s="2" t="s">
        <v>31</v>
      </c>
      <c r="B50" s="3">
        <v>6302.07</v>
      </c>
      <c r="C50" s="3">
        <v>6544.84</v>
      </c>
      <c r="D50" s="3">
        <v>6552.08</v>
      </c>
      <c r="E50" s="3">
        <v>6361.9</v>
      </c>
      <c r="F50" s="3">
        <v>6519.39</v>
      </c>
      <c r="G50" s="3">
        <v>6816.47</v>
      </c>
      <c r="H50" s="3">
        <v>6694.69</v>
      </c>
      <c r="I50" s="3">
        <v>6882.52</v>
      </c>
      <c r="J50" s="3">
        <v>6924.23</v>
      </c>
      <c r="K50" s="3">
        <v>5180.8599999999997</v>
      </c>
    </row>
    <row r="51" spans="1:11" x14ac:dyDescent="0.25">
      <c r="A51" s="2" t="s">
        <v>28</v>
      </c>
      <c r="B51" s="2">
        <f>B49+B48+B46+B45</f>
        <v>7099.9100000000008</v>
      </c>
      <c r="C51" s="2">
        <f t="shared" ref="C51:K51" si="2">C49+C48+C46+C45</f>
        <v>7230.5700000000006</v>
      </c>
      <c r="D51" s="2">
        <f t="shared" si="2"/>
        <v>7180.83</v>
      </c>
      <c r="E51" s="2">
        <f t="shared" si="2"/>
        <v>7086.92</v>
      </c>
      <c r="F51" s="2">
        <f t="shared" si="2"/>
        <v>21830.159999999996</v>
      </c>
      <c r="G51" s="2">
        <f t="shared" si="2"/>
        <v>7468.23</v>
      </c>
      <c r="H51" s="2">
        <f t="shared" si="2"/>
        <v>7373.09</v>
      </c>
      <c r="I51" s="2">
        <f t="shared" si="2"/>
        <v>7117.11</v>
      </c>
      <c r="J51" s="2">
        <f t="shared" si="2"/>
        <v>7541.9800000000005</v>
      </c>
      <c r="K51" s="2">
        <f t="shared" si="2"/>
        <v>6213.7000000000007</v>
      </c>
    </row>
    <row r="55" spans="1:11" x14ac:dyDescent="0.25">
      <c r="A55" s="1" t="s">
        <v>32</v>
      </c>
    </row>
    <row r="56" spans="1:11" s="6" customFormat="1" x14ac:dyDescent="0.25">
      <c r="A56" s="4" t="s">
        <v>11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25">
      <c r="A57" s="2" t="s">
        <v>33</v>
      </c>
      <c r="B57" s="3">
        <v>1214.74</v>
      </c>
      <c r="C57" s="3">
        <v>1220.43</v>
      </c>
      <c r="D57" s="3">
        <v>1225.8599999999999</v>
      </c>
      <c r="E57" s="3">
        <v>1229.22</v>
      </c>
      <c r="F57" s="3">
        <v>1230.8800000000001</v>
      </c>
      <c r="G57" s="3">
        <v>1232.33</v>
      </c>
      <c r="H57" s="3">
        <v>1242.8</v>
      </c>
      <c r="I57" s="3">
        <v>1248.47</v>
      </c>
      <c r="J57" s="3">
        <v>1251.4100000000001</v>
      </c>
      <c r="K57" s="3">
        <v>1252.95</v>
      </c>
    </row>
    <row r="58" spans="1:11" x14ac:dyDescent="0.25">
      <c r="A58" s="2" t="s">
        <v>34</v>
      </c>
      <c r="B58" s="3">
        <v>45198.19</v>
      </c>
      <c r="C58" s="3">
        <v>51289.68</v>
      </c>
      <c r="D58" s="3">
        <v>57915.01</v>
      </c>
      <c r="E58" s="3">
        <v>64044.04</v>
      </c>
      <c r="F58" s="3">
        <v>59116.46</v>
      </c>
      <c r="G58" s="3">
        <v>61223.24</v>
      </c>
      <c r="H58" s="3">
        <v>67912.460000000006</v>
      </c>
      <c r="I58" s="3">
        <v>73258.53</v>
      </c>
      <c r="J58" s="3">
        <v>68778.64</v>
      </c>
      <c r="K58" s="3">
        <v>71254.350000000006</v>
      </c>
    </row>
    <row r="59" spans="1:11" ht="14.4" x14ac:dyDescent="0.3">
      <c r="A59" s="2" t="s">
        <v>35</v>
      </c>
      <c r="B59" s="7">
        <v>45.72</v>
      </c>
      <c r="C59" s="7">
        <v>35.92</v>
      </c>
      <c r="D59" s="7">
        <v>13.44</v>
      </c>
      <c r="E59" s="7">
        <v>277.45</v>
      </c>
      <c r="F59" s="7">
        <v>270.83</v>
      </c>
      <c r="G59" s="7">
        <v>249.44</v>
      </c>
      <c r="H59" s="7">
        <v>306.04000000000002</v>
      </c>
      <c r="I59" s="7">
        <v>303.43</v>
      </c>
      <c r="J59" s="7">
        <v>284.54000000000002</v>
      </c>
      <c r="K59" s="7">
        <v>2399.06</v>
      </c>
    </row>
    <row r="60" spans="1:11" x14ac:dyDescent="0.25">
      <c r="A60" s="2" t="s">
        <v>36</v>
      </c>
      <c r="B60" s="3">
        <v>9439.67</v>
      </c>
      <c r="C60" s="3">
        <v>11694.85</v>
      </c>
      <c r="D60" s="3">
        <v>12584.73</v>
      </c>
      <c r="E60" s="3">
        <v>11760.04</v>
      </c>
      <c r="F60" s="3">
        <v>13142.59</v>
      </c>
      <c r="G60" s="3">
        <v>14491.01</v>
      </c>
      <c r="H60" s="3">
        <v>16369.66</v>
      </c>
      <c r="I60" s="3">
        <v>16943.54</v>
      </c>
      <c r="J60" s="3">
        <v>17688.11</v>
      </c>
      <c r="K60" s="3">
        <v>18730.84</v>
      </c>
    </row>
    <row r="61" spans="1:11" s="1" customFormat="1" x14ac:dyDescent="0.25">
      <c r="A61" s="1" t="s">
        <v>37</v>
      </c>
      <c r="B61" s="3">
        <v>55898.32</v>
      </c>
      <c r="C61" s="3">
        <v>64240.88</v>
      </c>
      <c r="D61" s="3">
        <v>71739.039999999994</v>
      </c>
      <c r="E61" s="3">
        <v>77310.75</v>
      </c>
      <c r="F61" s="3">
        <v>73760.759999999995</v>
      </c>
      <c r="G61" s="3">
        <v>77196.02</v>
      </c>
      <c r="H61" s="3">
        <v>85830.96</v>
      </c>
      <c r="I61" s="3">
        <v>91753.97</v>
      </c>
      <c r="J61" s="3">
        <v>88002.7</v>
      </c>
      <c r="K61" s="3">
        <v>93637.2</v>
      </c>
    </row>
    <row r="62" spans="1:11" x14ac:dyDescent="0.25">
      <c r="A62" s="2" t="s">
        <v>38</v>
      </c>
      <c r="B62" s="3">
        <v>15893.48</v>
      </c>
      <c r="C62" s="3">
        <v>16523.96</v>
      </c>
      <c r="D62" s="3">
        <v>19374.189999999999</v>
      </c>
      <c r="E62" s="3">
        <v>21713.34</v>
      </c>
      <c r="F62" s="3">
        <v>23298.48</v>
      </c>
      <c r="G62" s="3">
        <v>24231.59</v>
      </c>
      <c r="H62" s="3">
        <v>25851.27</v>
      </c>
      <c r="I62" s="3">
        <v>27820.22</v>
      </c>
      <c r="J62" s="3">
        <v>21954.85</v>
      </c>
      <c r="K62" s="3">
        <v>22442.53</v>
      </c>
    </row>
    <row r="63" spans="1:11" x14ac:dyDescent="0.25">
      <c r="A63" s="2" t="s">
        <v>39</v>
      </c>
      <c r="B63" s="3">
        <v>3729.89</v>
      </c>
      <c r="C63" s="3">
        <v>5508.33</v>
      </c>
      <c r="D63" s="3">
        <v>4136.42</v>
      </c>
      <c r="E63" s="3">
        <v>3256.46</v>
      </c>
      <c r="F63" s="3">
        <v>4011.29</v>
      </c>
      <c r="G63" s="3">
        <v>3225.54</v>
      </c>
      <c r="H63" s="3">
        <v>3003.3</v>
      </c>
      <c r="I63" s="3">
        <v>2860.78</v>
      </c>
      <c r="J63" s="3">
        <v>1090.9100000000001</v>
      </c>
      <c r="K63" s="3">
        <v>1601.88</v>
      </c>
    </row>
    <row r="64" spans="1:11" ht="14.4" x14ac:dyDescent="0.3">
      <c r="A64" s="2" t="s">
        <v>40</v>
      </c>
      <c r="B64" s="3">
        <v>17581.38</v>
      </c>
      <c r="C64" s="7">
        <v>22052.86</v>
      </c>
      <c r="D64" s="3">
        <v>25043.49</v>
      </c>
      <c r="E64" s="3">
        <v>28663.35</v>
      </c>
      <c r="F64" s="3">
        <v>24870.87</v>
      </c>
      <c r="G64" s="3">
        <v>24841.01</v>
      </c>
      <c r="H64" s="3">
        <v>29415.02</v>
      </c>
      <c r="I64" s="3">
        <v>31114.02</v>
      </c>
      <c r="J64" s="3">
        <v>34719.82</v>
      </c>
      <c r="K64" s="3">
        <v>38128.43</v>
      </c>
    </row>
    <row r="65" spans="1:11" x14ac:dyDescent="0.25">
      <c r="A65" s="2" t="s">
        <v>41</v>
      </c>
      <c r="B65" s="3">
        <v>18693.57</v>
      </c>
      <c r="C65" s="3">
        <v>20155.73</v>
      </c>
      <c r="D65" s="3">
        <v>23184.94</v>
      </c>
      <c r="E65" s="3">
        <v>23677.599999999999</v>
      </c>
      <c r="F65" s="3">
        <v>21580.12</v>
      </c>
      <c r="G65" s="3">
        <v>24897.88</v>
      </c>
      <c r="H65" s="3">
        <v>27561.37</v>
      </c>
      <c r="I65" s="3">
        <v>29958.95</v>
      </c>
      <c r="J65" s="3">
        <v>30237.119999999999</v>
      </c>
      <c r="K65" s="3">
        <v>31464.36</v>
      </c>
    </row>
    <row r="66" spans="1:11" s="1" customFormat="1" x14ac:dyDescent="0.25">
      <c r="A66" s="1" t="s">
        <v>37</v>
      </c>
      <c r="B66" s="3">
        <v>55898.32</v>
      </c>
      <c r="C66" s="3">
        <v>64240.88</v>
      </c>
      <c r="D66" s="3">
        <v>71739.039999999994</v>
      </c>
      <c r="E66" s="3">
        <v>77310.75</v>
      </c>
      <c r="F66" s="3">
        <v>73760.759999999995</v>
      </c>
      <c r="G66" s="3">
        <v>77196.02</v>
      </c>
      <c r="H66" s="3">
        <v>85830.96</v>
      </c>
      <c r="I66" s="3">
        <v>91753.97</v>
      </c>
      <c r="J66" s="3">
        <v>88002.7</v>
      </c>
      <c r="K66" s="3">
        <v>93637.2</v>
      </c>
    </row>
    <row r="67" spans="1:11" x14ac:dyDescent="0.25">
      <c r="A67" s="2" t="s">
        <v>42</v>
      </c>
      <c r="B67" s="3">
        <v>2474.29</v>
      </c>
      <c r="C67" s="3">
        <v>2682.29</v>
      </c>
      <c r="D67" s="3">
        <v>4035.28</v>
      </c>
      <c r="E67" s="3">
        <v>2562.48</v>
      </c>
      <c r="F67" s="3">
        <v>2501.6999999999998</v>
      </c>
      <c r="G67" s="3">
        <v>2461.9</v>
      </c>
      <c r="H67" s="3">
        <v>2956.17</v>
      </c>
      <c r="I67" s="3">
        <v>4025.82</v>
      </c>
      <c r="J67" s="3">
        <v>4719.67</v>
      </c>
      <c r="K67" s="3">
        <v>3922.86</v>
      </c>
    </row>
    <row r="68" spans="1:11" ht="14.4" x14ac:dyDescent="0.3">
      <c r="A68" s="2" t="s">
        <v>43</v>
      </c>
      <c r="B68" s="7">
        <v>8116.1</v>
      </c>
      <c r="C68" s="7">
        <v>7495.09</v>
      </c>
      <c r="D68" s="7">
        <v>7859.56</v>
      </c>
      <c r="E68" s="7">
        <v>8879.33</v>
      </c>
      <c r="F68" s="7">
        <v>10397.16</v>
      </c>
      <c r="G68" s="7">
        <v>10864.15</v>
      </c>
      <c r="H68" s="7">
        <v>11771.16</v>
      </c>
      <c r="I68" s="7">
        <v>14152.88</v>
      </c>
      <c r="J68" s="7">
        <v>15637.56</v>
      </c>
      <c r="K68" s="7">
        <v>18622.96</v>
      </c>
    </row>
    <row r="69" spans="1:11" x14ac:dyDescent="0.25">
      <c r="A69" s="2" t="s">
        <v>44</v>
      </c>
      <c r="B69" s="3">
        <v>2967.4</v>
      </c>
      <c r="C69" s="3">
        <v>2899.6</v>
      </c>
      <c r="D69" s="3">
        <v>4152.03</v>
      </c>
      <c r="E69" s="3">
        <v>7277.34</v>
      </c>
      <c r="F69" s="3">
        <v>4659.0200000000004</v>
      </c>
      <c r="G69" s="3">
        <v>4654.42</v>
      </c>
      <c r="H69" s="3">
        <v>4880.1899999999996</v>
      </c>
      <c r="I69" s="3">
        <v>7217.68</v>
      </c>
      <c r="J69" s="3">
        <v>4012.36</v>
      </c>
      <c r="K69" s="3">
        <v>3008.79</v>
      </c>
    </row>
    <row r="70" spans="1:11" x14ac:dyDescent="0.25">
      <c r="A70" s="2" t="s">
        <v>45</v>
      </c>
      <c r="B70" s="3">
        <v>12147383071</v>
      </c>
      <c r="C70" s="3">
        <v>12204294911</v>
      </c>
      <c r="D70" s="3">
        <v>12258631601</v>
      </c>
      <c r="E70" s="3">
        <v>12292231241</v>
      </c>
      <c r="F70" s="3">
        <v>12308844231</v>
      </c>
      <c r="G70" s="3">
        <v>12323255931</v>
      </c>
      <c r="H70" s="3">
        <v>12428017741</v>
      </c>
      <c r="I70" s="3">
        <v>12484700000</v>
      </c>
      <c r="J70" s="3">
        <v>12514119781</v>
      </c>
      <c r="K70" s="3">
        <v>12529468231</v>
      </c>
    </row>
    <row r="71" spans="1:11" ht="13.8" x14ac:dyDescent="0.25">
      <c r="A71" s="2" t="s">
        <v>46</v>
      </c>
      <c r="B71" s="9">
        <v>4026657100</v>
      </c>
      <c r="C71" s="9"/>
      <c r="G71" s="9"/>
      <c r="H71" s="9"/>
    </row>
    <row r="72" spans="1:11" x14ac:dyDescent="0.25">
      <c r="A72" s="2" t="s">
        <v>47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</row>
    <row r="74" spans="1:11" x14ac:dyDescent="0.25">
      <c r="A74" s="2" t="s">
        <v>128</v>
      </c>
      <c r="B74" s="2">
        <f>B65-SUM(B67:B69)</f>
        <v>5135.7800000000007</v>
      </c>
      <c r="C74" s="2">
        <f t="shared" ref="C74:K74" si="3">C65-SUM(C67:C69)</f>
        <v>7078.7499999999982</v>
      </c>
      <c r="D74" s="2">
        <f t="shared" si="3"/>
        <v>7138.07</v>
      </c>
      <c r="E74" s="2">
        <f t="shared" si="3"/>
        <v>4958.4499999999971</v>
      </c>
      <c r="F74" s="2">
        <f t="shared" si="3"/>
        <v>4022.239999999998</v>
      </c>
      <c r="G74" s="2">
        <f t="shared" si="3"/>
        <v>6917.41</v>
      </c>
      <c r="H74" s="2">
        <f t="shared" si="3"/>
        <v>7953.8499999999985</v>
      </c>
      <c r="I74" s="2">
        <f t="shared" si="3"/>
        <v>4562.57</v>
      </c>
      <c r="J74" s="2">
        <f t="shared" si="3"/>
        <v>5867.5299999999988</v>
      </c>
      <c r="K74" s="2">
        <f t="shared" si="3"/>
        <v>5909.75</v>
      </c>
    </row>
    <row r="76" spans="1:11" x14ac:dyDescent="0.25">
      <c r="A76" s="2" t="s">
        <v>129</v>
      </c>
      <c r="B76" s="2">
        <f>B66</f>
        <v>55898.32</v>
      </c>
      <c r="C76" s="2">
        <f t="shared" ref="C76:K76" si="4">C66</f>
        <v>64240.88</v>
      </c>
      <c r="D76" s="2">
        <f t="shared" si="4"/>
        <v>71739.039999999994</v>
      </c>
      <c r="E76" s="2">
        <f t="shared" si="4"/>
        <v>77310.75</v>
      </c>
      <c r="F76" s="2">
        <f t="shared" si="4"/>
        <v>73760.759999999995</v>
      </c>
      <c r="G76" s="2">
        <f t="shared" si="4"/>
        <v>77196.02</v>
      </c>
      <c r="H76" s="2">
        <f t="shared" si="4"/>
        <v>85830.96</v>
      </c>
      <c r="I76" s="2">
        <f t="shared" si="4"/>
        <v>91753.97</v>
      </c>
      <c r="J76" s="2">
        <f t="shared" si="4"/>
        <v>88002.7</v>
      </c>
      <c r="K76" s="2">
        <f t="shared" si="4"/>
        <v>93637.2</v>
      </c>
    </row>
    <row r="80" spans="1:11" x14ac:dyDescent="0.25">
      <c r="A80" s="1" t="s">
        <v>48</v>
      </c>
    </row>
    <row r="81" spans="1:12" s="6" customFormat="1" x14ac:dyDescent="0.25">
      <c r="A81" s="4" t="s">
        <v>11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  <c r="L81" s="5"/>
    </row>
    <row r="82" spans="1:12" s="1" customFormat="1" x14ac:dyDescent="0.25">
      <c r="A82" s="2" t="s">
        <v>49</v>
      </c>
      <c r="B82" s="3">
        <v>10627.31</v>
      </c>
      <c r="C82" s="3">
        <v>13169.4</v>
      </c>
      <c r="D82" s="3">
        <v>12583.41</v>
      </c>
      <c r="E82" s="3">
        <v>14689.66</v>
      </c>
      <c r="F82" s="3">
        <v>12526.97</v>
      </c>
      <c r="G82" s="3">
        <v>15775.51</v>
      </c>
      <c r="H82" s="3">
        <v>18877.55</v>
      </c>
      <c r="I82" s="3">
        <v>17178.86</v>
      </c>
      <c r="J82" s="3">
        <v>17627.04</v>
      </c>
      <c r="K82" s="3">
        <v>18464.310000000001</v>
      </c>
    </row>
    <row r="83" spans="1:12" x14ac:dyDescent="0.25">
      <c r="A83" s="2" t="s">
        <v>50</v>
      </c>
      <c r="B83" s="3">
        <v>-3250.93</v>
      </c>
      <c r="C83" s="3">
        <v>-7113.89</v>
      </c>
      <c r="D83" s="3">
        <v>-5545.68</v>
      </c>
      <c r="E83" s="3">
        <v>-6174.02</v>
      </c>
      <c r="F83" s="3">
        <v>5739.98</v>
      </c>
      <c r="G83" s="3">
        <v>-2238.4899999999998</v>
      </c>
      <c r="H83" s="3">
        <v>-5732.29</v>
      </c>
      <c r="I83" s="3">
        <v>1562.77</v>
      </c>
      <c r="J83" s="3">
        <v>-563.84</v>
      </c>
      <c r="K83" s="3">
        <v>-2320.7399999999998</v>
      </c>
    </row>
    <row r="84" spans="1:12" x14ac:dyDescent="0.25">
      <c r="A84" s="2" t="s">
        <v>51</v>
      </c>
      <c r="B84" s="3">
        <v>-7301.03</v>
      </c>
      <c r="C84" s="3">
        <v>-6221.13</v>
      </c>
      <c r="D84" s="3">
        <v>-6868.64</v>
      </c>
      <c r="E84" s="3">
        <v>-8181.48</v>
      </c>
      <c r="F84" s="3">
        <v>-18633.830000000002</v>
      </c>
      <c r="G84" s="3">
        <v>-13580.5</v>
      </c>
      <c r="H84" s="3">
        <v>-13006.03</v>
      </c>
      <c r="I84" s="3">
        <v>-18550.96</v>
      </c>
      <c r="J84" s="3">
        <v>-17037.400000000001</v>
      </c>
      <c r="K84" s="3">
        <v>-16147.12</v>
      </c>
    </row>
    <row r="85" spans="1:12" s="1" customFormat="1" x14ac:dyDescent="0.25">
      <c r="A85" s="2" t="s">
        <v>52</v>
      </c>
      <c r="B85" s="3">
        <v>75.349999999999994</v>
      </c>
      <c r="C85" s="3">
        <v>-165.62</v>
      </c>
      <c r="D85" s="3">
        <v>169.09</v>
      </c>
      <c r="E85" s="3">
        <v>334.16</v>
      </c>
      <c r="F85" s="3">
        <v>-366.88</v>
      </c>
      <c r="G85" s="3">
        <v>-43.48</v>
      </c>
      <c r="H85" s="3">
        <v>139.22999999999999</v>
      </c>
      <c r="I85" s="3">
        <v>190.67</v>
      </c>
      <c r="J85" s="3">
        <v>25.8</v>
      </c>
      <c r="K85" s="3">
        <v>-3.55</v>
      </c>
    </row>
    <row r="90" spans="1:12" s="1" customFormat="1" x14ac:dyDescent="0.25">
      <c r="A90" s="1" t="s">
        <v>53</v>
      </c>
      <c r="B90" s="3">
        <v>262.75</v>
      </c>
      <c r="C90" s="3">
        <v>239.5</v>
      </c>
      <c r="D90" s="3">
        <v>278.64</v>
      </c>
      <c r="E90" s="3">
        <v>160.94999999999999</v>
      </c>
      <c r="F90" s="3">
        <v>204.82</v>
      </c>
      <c r="G90" s="3">
        <v>234.96</v>
      </c>
      <c r="H90" s="3">
        <v>359.49</v>
      </c>
      <c r="I90" s="3">
        <v>401.53</v>
      </c>
      <c r="J90" s="3">
        <v>409.75</v>
      </c>
      <c r="K90" s="3">
        <v>287.7</v>
      </c>
    </row>
    <row r="92" spans="1:12" s="1" customFormat="1" x14ac:dyDescent="0.25">
      <c r="A92" s="1" t="s">
        <v>54</v>
      </c>
    </row>
    <row r="93" spans="1:12" x14ac:dyDescent="0.25">
      <c r="A93" s="2" t="s">
        <v>55</v>
      </c>
      <c r="B93" s="10">
        <v>1214.74</v>
      </c>
      <c r="C93" s="10">
        <v>1220.43</v>
      </c>
      <c r="D93" s="10">
        <v>1225.8599999999999</v>
      </c>
      <c r="E93" s="10">
        <v>1229.22</v>
      </c>
      <c r="F93" s="10">
        <v>1230.8800000000001</v>
      </c>
      <c r="G93" s="10">
        <v>1232.33</v>
      </c>
      <c r="H93" s="10">
        <v>1242.8</v>
      </c>
      <c r="I93" s="10">
        <v>1248.47</v>
      </c>
      <c r="J93" s="10">
        <v>1251.4100000000001</v>
      </c>
      <c r="K93" s="10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Historical FS</vt:lpstr>
      <vt:lpstr>Common Size Statement</vt:lpstr>
      <vt:lpstr>Ratio Analysis</vt:lpstr>
      <vt:lpstr>Forecasting</vt:lpstr>
      <vt:lpstr>Data Sheet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LIG3</cp:lastModifiedBy>
  <dcterms:created xsi:type="dcterms:W3CDTF">2023-01-14T08:22:33Z</dcterms:created>
  <dcterms:modified xsi:type="dcterms:W3CDTF">2026-09-02T08:53:40Z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